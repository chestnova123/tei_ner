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ocuments\GitHub\tei_ner\"/>
    </mc:Choice>
  </mc:AlternateContent>
  <xr:revisionPtr revIDLastSave="0" documentId="13_ncr:9_{3B17A165-4E19-4510-8A7D-01F59604F541}" xr6:coauthVersionLast="47" xr6:coauthVersionMax="47" xr10:uidLastSave="{00000000-0000-0000-0000-000000000000}"/>
  <bookViews>
    <workbookView xWindow="38280" yWindow="-120" windowWidth="29040" windowHeight="15840" xr2:uid="{A8BB7F58-4C6E-49D6-95EE-AF11280C5AAB}"/>
  </bookViews>
  <sheets>
    <sheet name="combined_metrics" sheetId="1" r:id="rId1"/>
    <sheet name="averages" sheetId="2" r:id="rId2"/>
  </sheets>
  <calcPr calcId="0"/>
</workbook>
</file>

<file path=xl/calcChain.xml><?xml version="1.0" encoding="utf-8"?>
<calcChain xmlns="http://schemas.openxmlformats.org/spreadsheetml/2006/main">
  <c r="AN66" i="1" l="1"/>
  <c r="AH65" i="1"/>
  <c r="AI65" i="1"/>
  <c r="AJ65" i="1"/>
  <c r="AK65" i="1"/>
  <c r="AL65" i="1"/>
  <c r="AM65" i="1"/>
  <c r="AN65" i="1"/>
  <c r="AH66" i="1"/>
  <c r="AI66" i="1"/>
  <c r="AJ66" i="1"/>
  <c r="AK66" i="1"/>
  <c r="AL66" i="1"/>
  <c r="AM66" i="1"/>
  <c r="AF65" i="1"/>
  <c r="AF66" i="1"/>
  <c r="AE65" i="1"/>
  <c r="AE66" i="1"/>
  <c r="AD65" i="1"/>
  <c r="AD66" i="1"/>
  <c r="AC65" i="1"/>
  <c r="AC66" i="1"/>
  <c r="AB65" i="1"/>
  <c r="AB66" i="1"/>
  <c r="AA65" i="1"/>
  <c r="AA66" i="1"/>
  <c r="Z65" i="1"/>
  <c r="Z66" i="1"/>
  <c r="AG66" i="1"/>
  <c r="Y66" i="1"/>
  <c r="AG65" i="1"/>
  <c r="Y65" i="1"/>
  <c r="E10" i="2"/>
  <c r="E8" i="2"/>
  <c r="E6" i="2"/>
  <c r="E4" i="2"/>
  <c r="E2" i="2"/>
  <c r="D2" i="2"/>
  <c r="D4" i="2"/>
  <c r="D6" i="2"/>
  <c r="D8" i="2"/>
  <c r="D10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<sst xmlns="http://schemas.openxmlformats.org/spreadsheetml/2006/main" count="1027" uniqueCount="635">
  <si>
    <t>timestamp</t>
  </si>
  <si>
    <t>model_name</t>
  </si>
  <si>
    <t>dataset_path</t>
  </si>
  <si>
    <t>learning_rate</t>
  </si>
  <si>
    <t>weight_decay</t>
  </si>
  <si>
    <t>batch_size</t>
  </si>
  <si>
    <t>num_train_epochs</t>
  </si>
  <si>
    <t>gradient_accumulation_steps</t>
  </si>
  <si>
    <t>eval_steps</t>
  </si>
  <si>
    <t>save_steps</t>
  </si>
  <si>
    <t>best_metric</t>
  </si>
  <si>
    <t>best_model_checkpoint</t>
  </si>
  <si>
    <t>global_step</t>
  </si>
  <si>
    <t>split</t>
  </si>
  <si>
    <t>eval_loss</t>
  </si>
  <si>
    <t>eval_f1</t>
  </si>
  <si>
    <t>eval_f1_ARTEFACT</t>
  </si>
  <si>
    <t>eval_f1_BIBL</t>
  </si>
  <si>
    <t>eval_f1_CONCEPT</t>
  </si>
  <si>
    <t>eval_f1_ORG</t>
  </si>
  <si>
    <t>eval_f1_PEOPLE</t>
  </si>
  <si>
    <t>eval_f1_PERSON</t>
  </si>
  <si>
    <t>eval_f1_PLACE</t>
  </si>
  <si>
    <t>eval_precision</t>
  </si>
  <si>
    <t>eval_precision_ARTEFACT</t>
  </si>
  <si>
    <t>eval_precision_BIBL</t>
  </si>
  <si>
    <t>eval_precision_CONCEPT</t>
  </si>
  <si>
    <t>eval_precision_ORG</t>
  </si>
  <si>
    <t>eval_precision_PEOPLE</t>
  </si>
  <si>
    <t>eval_precision_PERSON</t>
  </si>
  <si>
    <t>eval_precision_PLACE</t>
  </si>
  <si>
    <t>eval_recall</t>
  </si>
  <si>
    <t>eval_recall_ARTEFACT</t>
  </si>
  <si>
    <t>eval_recall_BIBL</t>
  </si>
  <si>
    <t>eval_recall_CONCEPT</t>
  </si>
  <si>
    <t>eval_recall_ORG</t>
  </si>
  <si>
    <t>eval_recall_PEOPLE</t>
  </si>
  <si>
    <t>eval_recall_PERSON</t>
  </si>
  <si>
    <t>eval_recall_PLACE</t>
  </si>
  <si>
    <t>eval_runtime</t>
  </si>
  <si>
    <t>eval_samples_per_second</t>
  </si>
  <si>
    <t>eval_steps_per_second</t>
  </si>
  <si>
    <t>2026-02-26T10:37:51.232557</t>
  </si>
  <si>
    <t>dbmdz/bert-base-german-cased</t>
  </si>
  <si>
    <t>/content/drive/MyDrive/ner_tei/hf_bert_base_cased</t>
  </si>
  <si>
    <t>1e-05</t>
  </si>
  <si>
    <t>test</t>
  </si>
  <si>
    <t>0.5076708507670852</t>
  </si>
  <si>
    <t>0.1153846153846153</t>
  </si>
  <si>
    <t>0.3569482288828337</t>
  </si>
  <si>
    <t>0.3720930232558139</t>
  </si>
  <si>
    <t>0.7699115044247786</t>
  </si>
  <si>
    <t>0.4042553191489361</t>
  </si>
  <si>
    <t>0.5824175824175823</t>
  </si>
  <si>
    <t>0.6666666666666666</t>
  </si>
  <si>
    <t>2026-02-26T14:08:50.367393</t>
  </si>
  <si>
    <t>0.4984818481848185</t>
  </si>
  <si>
    <t>0.6273161768913269</t>
  </si>
  <si>
    <t>0.5276653171390014</t>
  </si>
  <si>
    <t>0.3812681309573145</t>
  </si>
  <si>
    <t>0.7844827586206897</t>
  </si>
  <si>
    <t>0.3759398496240601</t>
  </si>
  <si>
    <t>0.5006605019815059</t>
  </si>
  <si>
    <t>0.4245309437132455</t>
  </si>
  <si>
    <t>validation</t>
  </si>
  <si>
    <t>0.6926338076591492</t>
  </si>
  <si>
    <t>0.5477419354838711</t>
  </si>
  <si>
    <t>0.1983471074380165</t>
  </si>
  <si>
    <t>0.3852813852813853</t>
  </si>
  <si>
    <t>0.4333333333333333</t>
  </si>
  <si>
    <t>0.6352941176470589</t>
  </si>
  <si>
    <t>0.5714285714285714</t>
  </si>
  <si>
    <t>0.7105263157894737</t>
  </si>
  <si>
    <t>0.4261308950914341</t>
  </si>
  <si>
    <t>0.6629024147987366</t>
  </si>
  <si>
    <t>0.5562167240839336</t>
  </si>
  <si>
    <t>0.2096774193548387</t>
  </si>
  <si>
    <t>0.4141380460153384</t>
  </si>
  <si>
    <t>0.3818181818181818</t>
  </si>
  <si>
    <t>0.6586826347305389</t>
  </si>
  <si>
    <t>0.5615763546798029</t>
  </si>
  <si>
    <t>0.7180616740088106</t>
  </si>
  <si>
    <t>0.4542829643888354</t>
  </si>
  <si>
    <t>2026-02-26T10:52:54.389065</t>
  </si>
  <si>
    <t>2e-05</t>
  </si>
  <si>
    <t>0.5322223668793126</t>
  </si>
  <si>
    <t>0.6218276619911194</t>
  </si>
  <si>
    <t>0.5544024104452628</t>
  </si>
  <si>
    <t>0.2255639097744361</t>
  </si>
  <si>
    <t>0.4026294165981923</t>
  </si>
  <si>
    <t>0.4444444444444444</t>
  </si>
  <si>
    <t>0.7704918032786884</t>
  </si>
  <si>
    <t>0.6096256684491979</t>
  </si>
  <si>
    <t>0.5134039900249376</t>
  </si>
  <si>
    <t>0.5217391304347826</t>
  </si>
  <si>
    <t>2026-02-26T14:39:24.183869</t>
  </si>
  <si>
    <t>0.5277251484148036</t>
  </si>
  <si>
    <t>0.6308000683784485</t>
  </si>
  <si>
    <t>0.5520974289580515</t>
  </si>
  <si>
    <t>0.2376237623762375</t>
  </si>
  <si>
    <t>0.4227272727272727</t>
  </si>
  <si>
    <t>0.4137931034482758</t>
  </si>
  <si>
    <t>0.7673469387755102</t>
  </si>
  <si>
    <t>0.4397163120567376</t>
  </si>
  <si>
    <t>0.5904255319148937</t>
  </si>
  <si>
    <t>0.5017699115044247</t>
  </si>
  <si>
    <t>0.4763371604592551</t>
  </si>
  <si>
    <t>0.6892657279968262</t>
  </si>
  <si>
    <t>0.5828182941903585</t>
  </si>
  <si>
    <t>0.2789115646258503</t>
  </si>
  <si>
    <t>0.4510406004776527</t>
  </si>
  <si>
    <t>0.5413533834586465</t>
  </si>
  <si>
    <t>0.7052631578947369</t>
  </si>
  <si>
    <t>0.5754060324825987</t>
  </si>
  <si>
    <t>0.7354838709677418</t>
  </si>
  <si>
    <t>0.5797389330306469</t>
  </si>
  <si>
    <t>0.4915784408084697</t>
  </si>
  <si>
    <t>0.6621167063713074</t>
  </si>
  <si>
    <t>0.2457337883959044</t>
  </si>
  <si>
    <t>0.4583977729662852</t>
  </si>
  <si>
    <t>0.5147058823529411</t>
  </si>
  <si>
    <t>0.7155172413793104</t>
  </si>
  <si>
    <t>0.5564430244941427</t>
  </si>
  <si>
    <t>0.5028873917228104</t>
  </si>
  <si>
    <t>2026-02-26T13:45:46.295153</t>
  </si>
  <si>
    <t>3e-05</t>
  </si>
  <si>
    <t>0.5456412889973038</t>
  </si>
  <si>
    <t>0.6443898677825928</t>
  </si>
  <si>
    <t>0.5749665327978581</t>
  </si>
  <si>
    <t>0.2803738317757009</t>
  </si>
  <si>
    <t>0.4210526315789473</t>
  </si>
  <si>
    <t>0.7800829875518672</t>
  </si>
  <si>
    <t>0.4583333333333333</t>
  </si>
  <si>
    <t>0.5931758530183727</t>
  </si>
  <si>
    <t>0.5232628398791541</t>
  </si>
  <si>
    <t>0.4850182021842621</t>
  </si>
  <si>
    <t>2026-02-26T14:48:34.946086</t>
  </si>
  <si>
    <t>0.5375744519072362</t>
  </si>
  <si>
    <t>0.6717366576194763</t>
  </si>
  <si>
    <t>0.5545361875637106</t>
  </si>
  <si>
    <t>0.2716627634660422</t>
  </si>
  <si>
    <t>0.4406528189910978</t>
  </si>
  <si>
    <t>0.4727272727272728</t>
  </si>
  <si>
    <t>0.7510204081632653</t>
  </si>
  <si>
    <t>0.5760000000000001</t>
  </si>
  <si>
    <t>0.5053545586107091</t>
  </si>
  <si>
    <t>0.4889386726407169</t>
  </si>
  <si>
    <t>0.7043734788894653</t>
  </si>
  <si>
    <t>0.5977791486736582</t>
  </si>
  <si>
    <t>0.3016393442622951</t>
  </si>
  <si>
    <t>0.4662698412698413</t>
  </si>
  <si>
    <t>0.5588235294117647</t>
  </si>
  <si>
    <t>0.7473684210526317</t>
  </si>
  <si>
    <t>0.5901639344262296</t>
  </si>
  <si>
    <t>0.7381974248927039</t>
  </si>
  <si>
    <t>0.5117901828681425</t>
  </si>
  <si>
    <t>0.6680243015289307</t>
  </si>
  <si>
    <t>0.5837018319646241</t>
  </si>
  <si>
    <t>0.2912621359223301</t>
  </si>
  <si>
    <t>0.4708086169216359</t>
  </si>
  <si>
    <t>0.5255474452554744</t>
  </si>
  <si>
    <t>0.7301587301587302</t>
  </si>
  <si>
    <t>0.5910165484633569</t>
  </si>
  <si>
    <t>0.5666577611541544</t>
  </si>
  <si>
    <t>0.5103464870067372</t>
  </si>
  <si>
    <t>2026-02-26T20:40:52.246858</t>
  </si>
  <si>
    <t>dbmdz/bert-base-german-uncased</t>
  </si>
  <si>
    <t>/content/drive/MyDrive/ner_tei/hf_bert_base_uncased</t>
  </si>
  <si>
    <t>0.4817320703653585</t>
  </si>
  <si>
    <t>0.6791802644729614</t>
  </si>
  <si>
    <t>0.5000000000000001</t>
  </si>
  <si>
    <t>0.3699273814609142</t>
  </si>
  <si>
    <t>0.2285714285714286</t>
  </si>
  <si>
    <t>0.6995073891625616</t>
  </si>
  <si>
    <t>0.4799595823509599</t>
  </si>
  <si>
    <t>0.4001684919966302</t>
  </si>
  <si>
    <t>2026-03-02T11:53:17.308050</t>
  </si>
  <si>
    <t>0.4841845816787621</t>
  </si>
  <si>
    <t>0.6624618172645569</t>
  </si>
  <si>
    <t>0.5117565698478562</t>
  </si>
  <si>
    <t>0.3585623678646934</t>
  </si>
  <si>
    <t>0.2105263157894737</t>
  </si>
  <si>
    <t>0.7685185185185186</t>
  </si>
  <si>
    <t>0.3878326996197718</t>
  </si>
  <si>
    <t>0.5642458100558659</t>
  </si>
  <si>
    <t>0.4928296607205316</t>
  </si>
  <si>
    <t>0.2857142857142857</t>
  </si>
  <si>
    <t>0.3956753720864925</t>
  </si>
  <si>
    <t>0.7246914505958557</t>
  </si>
  <si>
    <t>0.5559385772485115</t>
  </si>
  <si>
    <t>0.5599999999999999</t>
  </si>
  <si>
    <t>0.5462962962962962</t>
  </si>
  <si>
    <t>0.5521091811414393</t>
  </si>
  <si>
    <t>0.4545454545454545</t>
  </si>
  <si>
    <t>0.4272683629380701</t>
  </si>
  <si>
    <t>0.7109706401824951</t>
  </si>
  <si>
    <t>0.5573135292218275</t>
  </si>
  <si>
    <t>0.3939712583245706</t>
  </si>
  <si>
    <t>0.1935483870967742</t>
  </si>
  <si>
    <t>0.6419753086419753</t>
  </si>
  <si>
    <t>0.5525672371638142</t>
  </si>
  <si>
    <t>0.6868250539956803</t>
  </si>
  <si>
    <t>0.5647171620325983</t>
  </si>
  <si>
    <t>0.4241478636581853</t>
  </si>
  <si>
    <t>2026-03-02T11:15:47.554330</t>
  </si>
  <si>
    <t>0.5325961167545326</t>
  </si>
  <si>
    <t>0.6880733370780945</t>
  </si>
  <si>
    <t>0.5426052889324191</t>
  </si>
  <si>
    <t>0.1712707182320442</t>
  </si>
  <si>
    <t>0.4432432432432432</t>
  </si>
  <si>
    <t>0.7914893617021277</t>
  </si>
  <si>
    <t>0.4452054794520548</t>
  </si>
  <si>
    <t>0.5567010309278351</t>
  </si>
  <si>
    <t>0.5013169446883231</t>
  </si>
  <si>
    <t>2026-03-02T12:03:54.402835</t>
  </si>
  <si>
    <t>0.5305857957490928</t>
  </si>
  <si>
    <t>0.6356234550476074</t>
  </si>
  <si>
    <t>0.5494355114608279</t>
  </si>
  <si>
    <t>0.1889763779527559</t>
  </si>
  <si>
    <t>0.4212121212121212</t>
  </si>
  <si>
    <t>0.3846153846153846</t>
  </si>
  <si>
    <t>0.7811158798283262</t>
  </si>
  <si>
    <t>0.4306569343065694</t>
  </si>
  <si>
    <t>0.6962987184524536</t>
  </si>
  <si>
    <t>0.5942786834820056</t>
  </si>
  <si>
    <t>0.2037735849056604</t>
  </si>
  <si>
    <t>0.4518883415435139</t>
  </si>
  <si>
    <t>0.4285714285714286</t>
  </si>
  <si>
    <t>0.7222222222222223</t>
  </si>
  <si>
    <t>0.7066115702479339</t>
  </si>
  <si>
    <t>0.5739563173901023</t>
  </si>
  <si>
    <t>0.4983197311569851</t>
  </si>
  <si>
    <t>0.6861404776573181</t>
  </si>
  <si>
    <t>0.5876716703928457</t>
  </si>
  <si>
    <t>0.2323943661971831</t>
  </si>
  <si>
    <t>0.4480414373583684</t>
  </si>
  <si>
    <t>0.4776119402985075</t>
  </si>
  <si>
    <t>0.7379679144385026</t>
  </si>
  <si>
    <t>0.5882352941176471</t>
  </si>
  <si>
    <t>0.7489539748953975</t>
  </si>
  <si>
    <t>0.5755193711398091</t>
  </si>
  <si>
    <t>0.4920787325972156</t>
  </si>
  <si>
    <t>2026-03-02T11:34:02.039800</t>
  </si>
  <si>
    <t>0.5485944787596118</t>
  </si>
  <si>
    <t>0.6686637997627258</t>
  </si>
  <si>
    <t>0.5578673602080624</t>
  </si>
  <si>
    <t>0.2188295165394402</t>
  </si>
  <si>
    <t>0.4475574712643678</t>
  </si>
  <si>
    <t>0.4347826086956521</t>
  </si>
  <si>
    <t>0.7594936708860759</t>
  </si>
  <si>
    <t>0.4733333333333333</t>
  </si>
  <si>
    <t>0.5900783289817232</t>
  </si>
  <si>
    <t>0.4942591580098414</t>
  </si>
  <si>
    <t>2026-03-02T12:11:09.913190</t>
  </si>
  <si>
    <t>0.5391639871382636</t>
  </si>
  <si>
    <t>0.6300866007804871</t>
  </si>
  <si>
    <t>0.5708390646492434</t>
  </si>
  <si>
    <t>0.2281553398058252</t>
  </si>
  <si>
    <t>0.4306326304106548</t>
  </si>
  <si>
    <t>0.3793103448275862</t>
  </si>
  <si>
    <t>0.7679324894514767</t>
  </si>
  <si>
    <t>0.4555160142348755</t>
  </si>
  <si>
    <t>0.5848563968668408</t>
  </si>
  <si>
    <t>0.4877843302443134</t>
  </si>
  <si>
    <t>0.6881030201911926</t>
  </si>
  <si>
    <t>0.6029684601113173</t>
  </si>
  <si>
    <t>0.2635135135135135</t>
  </si>
  <si>
    <t>0.4744687599111957</t>
  </si>
  <si>
    <t>0.4962406015037593</t>
  </si>
  <si>
    <t>0.7195767195767195</t>
  </si>
  <si>
    <t>0.5995423340961098</t>
  </si>
  <si>
    <t>0.7298969072164948</t>
  </si>
  <si>
    <t>0.5772400957192236</t>
  </si>
  <si>
    <t>0.5211233797407585</t>
  </si>
  <si>
    <t>0.6913864016532898</t>
  </si>
  <si>
    <t>0.5956620265458077</t>
  </si>
  <si>
    <t>0.2466666666666666</t>
  </si>
  <si>
    <t>0.4617834394904458</t>
  </si>
  <si>
    <t>0.6041189931350115</t>
  </si>
  <si>
    <t>0.7473903966597077</t>
  </si>
  <si>
    <t>0.5809761508596784</t>
  </si>
  <si>
    <t>0.5028804608737398</t>
  </si>
  <si>
    <t>2026-02-26T15:01:08.957471</t>
  </si>
  <si>
    <t>deepset/gbert-base</t>
  </si>
  <si>
    <t>/content/drive/MyDrive/ner_tei/hf_gbert_base</t>
  </si>
  <si>
    <t>0.4856601731601731</t>
  </si>
  <si>
    <t>0.6709668636322021</t>
  </si>
  <si>
    <t>0.5118136439267886</t>
  </si>
  <si>
    <t>0.3448275862068965</t>
  </si>
  <si>
    <t>0.1951219512195122</t>
  </si>
  <si>
    <t>0.7478260869565216</t>
  </si>
  <si>
    <t>0.4275862068965517</t>
  </si>
  <si>
    <t>0.5714285714285715</t>
  </si>
  <si>
    <t>0.4779143141813351</t>
  </si>
  <si>
    <t>0.4029683562027443</t>
  </si>
  <si>
    <t>2026-02-26T15:37:03.441751</t>
  </si>
  <si>
    <t>0.5047619047619047</t>
  </si>
  <si>
    <t>0.6131545305252075</t>
  </si>
  <si>
    <t>0.5184472248957331</t>
  </si>
  <si>
    <t>0.1042345276872964</t>
  </si>
  <si>
    <t>0.3644752018454441</t>
  </si>
  <si>
    <t>0.7627118644067797</t>
  </si>
  <si>
    <t>0.3971119133574007</t>
  </si>
  <si>
    <t>0.5913043478260869</t>
  </si>
  <si>
    <t>0.4343321198543825</t>
  </si>
  <si>
    <t>0.7175308465957642</t>
  </si>
  <si>
    <t>0.5620873939012888</t>
  </si>
  <si>
    <t>0.3941299790356394</t>
  </si>
  <si>
    <t>0.2417582417582417</t>
  </si>
  <si>
    <t>0.6936416184971099</t>
  </si>
  <si>
    <t>0.5549043800123381</t>
  </si>
  <si>
    <t>0.4328681424446583</t>
  </si>
  <si>
    <t>0.6722208261489868</t>
  </si>
  <si>
    <t>0.5850837138508372</t>
  </si>
  <si>
    <t>0.1298701298701298</t>
  </si>
  <si>
    <t>0.4150462225055786</t>
  </si>
  <si>
    <t>0.3137254901960784</t>
  </si>
  <si>
    <t>0.7045454545454546</t>
  </si>
  <si>
    <t>0.5124378109452736</t>
  </si>
  <si>
    <t>0.6894977168949771</t>
  </si>
  <si>
    <t>0.4713666987487969</t>
  </si>
  <si>
    <t>2026-02-26T15:12:06.392309</t>
  </si>
  <si>
    <t>0.5169513797634692</t>
  </si>
  <si>
    <t>0.6649791598320007</t>
  </si>
  <si>
    <t>0.5338809034907598</t>
  </si>
  <si>
    <t>0.2383419689119171</t>
  </si>
  <si>
    <t>0.7606837606837608</t>
  </si>
  <si>
    <t>0.4482758620689655</t>
  </si>
  <si>
    <t>0.5006309148264985</t>
  </si>
  <si>
    <t>0.7235772357723578</t>
  </si>
  <si>
    <t>0.4444133295995519</t>
  </si>
  <si>
    <t>2026-02-26T15:44:57.672387</t>
  </si>
  <si>
    <t>0.5296052631578947</t>
  </si>
  <si>
    <t>0.5947195291519165</t>
  </si>
  <si>
    <t>0.5449664429530201</t>
  </si>
  <si>
    <t>0.2821782178217822</t>
  </si>
  <si>
    <t>0.4138702460850111</t>
  </si>
  <si>
    <t>0.4668989547038327</t>
  </si>
  <si>
    <t>0.6280991735537189</t>
  </si>
  <si>
    <t>0.4956369982547993</t>
  </si>
  <si>
    <t>0.4285714285714285</t>
  </si>
  <si>
    <t>0.4771772612713525</t>
  </si>
  <si>
    <t>0.5112781954887219</t>
  </si>
  <si>
    <t>0.7374301675977653</t>
  </si>
  <si>
    <t>0.5767441860465117</t>
  </si>
  <si>
    <t>0.6991150442477877</t>
  </si>
  <si>
    <t>0.5690751445086705</t>
  </si>
  <si>
    <t>0.4737728585178056</t>
  </si>
  <si>
    <t>0.6872565150260925</t>
  </si>
  <si>
    <t>0.6080150281778335</t>
  </si>
  <si>
    <t>0.2828947368421052</t>
  </si>
  <si>
    <t>0.4321796071094481</t>
  </si>
  <si>
    <t>0.5797101449275363</t>
  </si>
  <si>
    <t>0.7111111111111111</t>
  </si>
  <si>
    <t>0.5734939759036144</t>
  </si>
  <si>
    <t>0.7002188183807438</t>
  </si>
  <si>
    <t>0.5589729874297941</t>
  </si>
  <si>
    <t>2026-02-26T15:26:31.826051</t>
  </si>
  <si>
    <t>0.5237717908082408</t>
  </si>
  <si>
    <t>0.6661579012870789</t>
  </si>
  <si>
    <t>0.5355113636363636</t>
  </si>
  <si>
    <t>0.2939759036144578</t>
  </si>
  <si>
    <t>0.4072289156626506</t>
  </si>
  <si>
    <t>0.7521367521367521</t>
  </si>
  <si>
    <t>0.4657534246575342</t>
  </si>
  <si>
    <t>0.5959885386819485</t>
  </si>
  <si>
    <t>0.5173644920480364</t>
  </si>
  <si>
    <t>0.4463735648277793</t>
  </si>
  <si>
    <t>2026-02-26T17:11:32.953489</t>
  </si>
  <si>
    <t>0.5337802991232594</t>
  </si>
  <si>
    <t>0.6163932681083679</t>
  </si>
  <si>
    <t>0.5481886534518114</t>
  </si>
  <si>
    <t>0.3198198198198199</t>
  </si>
  <si>
    <t>0.7457627118644067</t>
  </si>
  <si>
    <t>0.4913494809688581</t>
  </si>
  <si>
    <t>0.6413043478260869</t>
  </si>
  <si>
    <t>0.5064858490566038</t>
  </si>
  <si>
    <t>0.4810977317278073</t>
  </si>
  <si>
    <t>0.7195955514907837</t>
  </si>
  <si>
    <t>0.5809399477806789</t>
  </si>
  <si>
    <t>0.3344262295081967</t>
  </si>
  <si>
    <t>0.4374999999999999</t>
  </si>
  <si>
    <t>0.5223880597014925</t>
  </si>
  <si>
    <t>0.7362637362637363</t>
  </si>
  <si>
    <t>0.5931034482758621</t>
  </si>
  <si>
    <t>0.7008928571428571</t>
  </si>
  <si>
    <t>0.5809941520467836</t>
  </si>
  <si>
    <t>0.4781039461020211</t>
  </si>
  <si>
    <t>0.6033876637903484</t>
  </si>
  <si>
    <t>0.3012820512820512</t>
  </si>
  <si>
    <t>0.5547445255474452</t>
  </si>
  <si>
    <t>0.7292817679558011</t>
  </si>
  <si>
    <t>0.5857142857142856</t>
  </si>
  <si>
    <t>0.7296137339055793</t>
  </si>
  <si>
    <t>0.5744798890429959</t>
  </si>
  <si>
    <t>0.4983156881616939</t>
  </si>
  <si>
    <t>2026-02-26T17:32:14.778678</t>
  </si>
  <si>
    <t>xlm-roberta-base</t>
  </si>
  <si>
    <t>/content/drive/MyDrive/ner_tei/hf_roberta_base</t>
  </si>
  <si>
    <t>0.4879115226337449</t>
  </si>
  <si>
    <t>0.6298176646232605</t>
  </si>
  <si>
    <t>0.5238393977415308</t>
  </si>
  <si>
    <t>0.3701375245579568</t>
  </si>
  <si>
    <t>0.6963562753036436</t>
  </si>
  <si>
    <t>0.5604719764011801</t>
  </si>
  <si>
    <t>0.4677516576250753</t>
  </si>
  <si>
    <t>0.4330357142857143</t>
  </si>
  <si>
    <t>2026-02-26T19:00:16.374982</t>
  </si>
  <si>
    <t>0.4929282346778418</t>
  </si>
  <si>
    <t>0.6109094619750977</t>
  </si>
  <si>
    <t>0.5115672857608341</t>
  </si>
  <si>
    <t>0.3556804496186271</t>
  </si>
  <si>
    <t>0.7107438016528925</t>
  </si>
  <si>
    <t>0.5852272727272727</t>
  </si>
  <si>
    <t>0.4678899082568807</t>
  </si>
  <si>
    <t>0.4126674107142857</t>
  </si>
  <si>
    <t>0.7010053396224976</t>
  </si>
  <si>
    <t>0.5686274509803921</t>
  </si>
  <si>
    <t>0.4003990688393748</t>
  </si>
  <si>
    <t>0.6630434782608696</t>
  </si>
  <si>
    <t>0.4813895781637717</t>
  </si>
  <si>
    <t>0.5266518600777346</t>
  </si>
  <si>
    <t>0.4544801149976042</t>
  </si>
  <si>
    <t>0.6498225331306458</t>
  </si>
  <si>
    <t>0.4137698278771515</t>
  </si>
  <si>
    <t>0.6628571428571428</t>
  </si>
  <si>
    <t>0.4691943127962085</t>
  </si>
  <si>
    <t>0.7042889390519187</t>
  </si>
  <si>
    <t>0.5413773148148148</t>
  </si>
  <si>
    <t>0.4482510781025395</t>
  </si>
  <si>
    <t>2026-02-26T17:53:04.480278</t>
  </si>
  <si>
    <t>0.5239090350338045</t>
  </si>
  <si>
    <t>0.6233727335929871</t>
  </si>
  <si>
    <t>0.5535314797059764</t>
  </si>
  <si>
    <t>0.2982885085574572</t>
  </si>
  <si>
    <t>0.4019033674963397</t>
  </si>
  <si>
    <t>0.3018867924528302</t>
  </si>
  <si>
    <t>0.6967213114754098</t>
  </si>
  <si>
    <t>0.4605263157894737</t>
  </si>
  <si>
    <t>0.6129032258064515</t>
  </si>
  <si>
    <t>0.4790926482645531</t>
  </si>
  <si>
    <t>0.4891183035714285</t>
  </si>
  <si>
    <t>2026-02-26T19:19:00.639507</t>
  </si>
  <si>
    <t>0.5300607412916821</t>
  </si>
  <si>
    <t>0.6023090481758118</t>
  </si>
  <si>
    <t>0.5354735152487962</t>
  </si>
  <si>
    <t>0.3165137614678899</t>
  </si>
  <si>
    <t>0.3954428518926865</t>
  </si>
  <si>
    <t>0.7131147540983607</t>
  </si>
  <si>
    <t>0.4903225806451613</t>
  </si>
  <si>
    <t>0.4693268186753528</t>
  </si>
  <si>
    <t>0.6815342903137207</t>
  </si>
  <si>
    <t>0.5932597327135386</t>
  </si>
  <si>
    <t>0.3020134228187919</t>
  </si>
  <si>
    <t>0.4838709677419354</t>
  </si>
  <si>
    <t>0.6989247311827956</t>
  </si>
  <si>
    <t>0.5613207547169811</t>
  </si>
  <si>
    <t>0.7272727272727272</t>
  </si>
  <si>
    <t>0.5379954556930068</t>
  </si>
  <si>
    <t>0.5105414470531864</t>
  </si>
  <si>
    <t>0.6291554570198059</t>
  </si>
  <si>
    <t>0.2885245901639344</t>
  </si>
  <si>
    <t>0.5040650406504066</t>
  </si>
  <si>
    <t>0.6595744680851064</t>
  </si>
  <si>
    <t>0.5514018691588786</t>
  </si>
  <si>
    <t>0.5491908553814538</t>
  </si>
  <si>
    <t>0.7296137339055794</t>
  </si>
  <si>
    <t>0.5122184954480115</t>
  </si>
  <si>
    <t>0.7172995780590717</t>
  </si>
  <si>
    <t>2026-02-26T18:20:12.206583</t>
  </si>
  <si>
    <t>0.5370370370370371</t>
  </si>
  <si>
    <t>0.6201906204223633</t>
  </si>
  <si>
    <t>0.5597423510466989</t>
  </si>
  <si>
    <t>0.3566591422121896</t>
  </si>
  <si>
    <t>0.4226044226044226</t>
  </si>
  <si>
    <t>0.3728813559322034</t>
  </si>
  <si>
    <t>0.7016129032258064</t>
  </si>
  <si>
    <t>0.4983818770226537</t>
  </si>
  <si>
    <t>0.6070460704607047</t>
  </si>
  <si>
    <t>0.4836756187467088</t>
  </si>
  <si>
    <t>0.3928571428571428</t>
  </si>
  <si>
    <t>0.5125558035714286</t>
  </si>
  <si>
    <t>2026-02-26T20:14:01.465303</t>
  </si>
  <si>
    <t>0.5352112676056339</t>
  </si>
  <si>
    <t>0.6131661534309387</t>
  </si>
  <si>
    <t>0.5524967989756722</t>
  </si>
  <si>
    <t>0.3303571428571428</t>
  </si>
  <si>
    <t>0.4242641780330222</t>
  </si>
  <si>
    <t>0.3934426229508196</t>
  </si>
  <si>
    <t>0.6134020618556701</t>
  </si>
  <si>
    <t>0.4831877151178184</t>
  </si>
  <si>
    <t>0.5833333333333334</t>
  </si>
  <si>
    <t>0.5092075892857143</t>
  </si>
  <si>
    <t>0.6693552732467651</t>
  </si>
  <si>
    <t>0.6103781882145999</t>
  </si>
  <si>
    <t>0.3248407643312102</t>
  </si>
  <si>
    <t>0.4396076026977314</t>
  </si>
  <si>
    <t>0.5581395348837209</t>
  </si>
  <si>
    <t>0.6737967914438503</t>
  </si>
  <si>
    <t>0.5804988662131518</t>
  </si>
  <si>
    <t>0.7241379310344828</t>
  </si>
  <si>
    <t>0.5463559742191373</t>
  </si>
  <si>
    <t>0.5280306660277911</t>
  </si>
  <si>
    <t>0.6314358115196228</t>
  </si>
  <si>
    <t>0.6105826397146255</t>
  </si>
  <si>
    <t>0.3121019108280255</t>
  </si>
  <si>
    <t>0.4345925694661254</t>
  </si>
  <si>
    <t>0.5312499999999999</t>
  </si>
  <si>
    <t>0.6974358974358974</t>
  </si>
  <si>
    <t>0.5754716981132075</t>
  </si>
  <si>
    <t>0.5525510204081633</t>
  </si>
  <si>
    <t>2026-02-24T18:35:40.256297</t>
  </si>
  <si>
    <t>xlm-roberta-large</t>
  </si>
  <si>
    <t>/content/data/hf_roberta_large</t>
  </si>
  <si>
    <t>0.5197034724931721</t>
  </si>
  <si>
    <t>0.6257436871528625</t>
  </si>
  <si>
    <t>0.5368108286563221</t>
  </si>
  <si>
    <t>0.2595419847328244</t>
  </si>
  <si>
    <t>0.7435897435897435</t>
  </si>
  <si>
    <t>0.4846416382252559</t>
  </si>
  <si>
    <t>0.5041666666666667</t>
  </si>
  <si>
    <t>2026-02-24T18:53:23.137795</t>
  </si>
  <si>
    <t>0.5143007084754658</t>
  </si>
  <si>
    <t>0.5901229977607727</t>
  </si>
  <si>
    <t>0.5390359809911744</t>
  </si>
  <si>
    <t>0.3859649122807018</t>
  </si>
  <si>
    <t>0.7489361702127659</t>
  </si>
  <si>
    <t>0.4966442953020134</t>
  </si>
  <si>
    <t>0.6005509641873278</t>
  </si>
  <si>
    <t>0.5123296560674886</t>
  </si>
  <si>
    <t>2026-02-26T09:17:06.231289</t>
  </si>
  <si>
    <t>0.5237102657634185</t>
  </si>
  <si>
    <t>0.5370121130551817</t>
  </si>
  <si>
    <t>0.3089005235602094</t>
  </si>
  <si>
    <t>0.3804755944931164</t>
  </si>
  <si>
    <t>0.7385892116182573</t>
  </si>
  <si>
    <t>0.4745762711864407</t>
  </si>
  <si>
    <t>0.5989010989010989</t>
  </si>
  <si>
    <t>0.5097662504002561</t>
  </si>
  <si>
    <t>0.6558700799942017</t>
  </si>
  <si>
    <t>0.5844748858447489</t>
  </si>
  <si>
    <t>0.2638888888888889</t>
  </si>
  <si>
    <t>0.4197952218430034</t>
  </si>
  <si>
    <t>0.5611510791366906</t>
  </si>
  <si>
    <t>0.6775956284153005</t>
  </si>
  <si>
    <t>0.5899280575539568</t>
  </si>
  <si>
    <t>0.5677749360613811</t>
  </si>
  <si>
    <t>0.6433148980140686</t>
  </si>
  <si>
    <t>0.5706267539756783</t>
  </si>
  <si>
    <t>0.2508710801393728</t>
  </si>
  <si>
    <t>0.4212678936605317</t>
  </si>
  <si>
    <t>0.5481481481481482</t>
  </si>
  <si>
    <t>0.6813186813186813</t>
  </si>
  <si>
    <t>0.6285714285714287</t>
  </si>
  <si>
    <t>0.7002188183807441</t>
  </si>
  <si>
    <t>0.6270904541015625</t>
  </si>
  <si>
    <t>0.5872129112352577</t>
  </si>
  <si>
    <t>0.3043478260869565</t>
  </si>
  <si>
    <t>0.4181019925700776</t>
  </si>
  <si>
    <t>0.5774647887323944</t>
  </si>
  <si>
    <t>0.6335697399527186</t>
  </si>
  <si>
    <t>0.6995708154506438</t>
  </si>
  <si>
    <t>0.5739577384351799</t>
  </si>
  <si>
    <t>0.7282608695652174</t>
  </si>
  <si>
    <t>2026-02-24T19:12:39.247371</t>
  </si>
  <si>
    <t>0.5426712590891696</t>
  </si>
  <si>
    <t>0.6346688270568848</t>
  </si>
  <si>
    <t>0.3348837209302325</t>
  </si>
  <si>
    <t>0.4180392156862745</t>
  </si>
  <si>
    <t>0.5342019543973942</t>
  </si>
  <si>
    <t>0.5917808219178081</t>
  </si>
  <si>
    <t>0.5228857229463474</t>
  </si>
  <si>
    <t>2026-02-26T09:34:45.285242</t>
  </si>
  <si>
    <t>0.6093593835830688</t>
  </si>
  <si>
    <t>0.5746894931184962</t>
  </si>
  <si>
    <t>0.3523809523809523</t>
  </si>
  <si>
    <t>0.4225893200153668</t>
  </si>
  <si>
    <t>0.7242798353909464</t>
  </si>
  <si>
    <t>0.5405405405405405</t>
  </si>
  <si>
    <t>0.6170212765957447</t>
  </si>
  <si>
    <t>0.5235571260306242</t>
  </si>
  <si>
    <t>0.6782196164131165</t>
  </si>
  <si>
    <t>0.5966885348328648</t>
  </si>
  <si>
    <t>0.3612040133779264</t>
  </si>
  <si>
    <t>0.4445880452342488</t>
  </si>
  <si>
    <t>0.5479452054794519</t>
  </si>
  <si>
    <t>0.6787330316742081</t>
  </si>
  <si>
    <t>0.7357293868921776</t>
  </si>
  <si>
    <t>0.5803547066848568</t>
  </si>
  <si>
    <t>0.6578680872917175</t>
  </si>
  <si>
    <t>0.6018691588785046</t>
  </si>
  <si>
    <t>0.3790849673202614</t>
  </si>
  <si>
    <t>0.4519015659955257</t>
  </si>
  <si>
    <t>0.5866666666666667</t>
  </si>
  <si>
    <t>0.7472527472527473</t>
  </si>
  <si>
    <t>0.7359667359667359</t>
  </si>
  <si>
    <t>2026-02-26T08:58:11.364598</t>
  </si>
  <si>
    <t>0.5542440984429934</t>
  </si>
  <si>
    <t>0.6529309749603271</t>
  </si>
  <si>
    <t>0.5831357941076871</t>
  </si>
  <si>
    <t>0.7510548523206751</t>
  </si>
  <si>
    <t>0.5723472668810291</t>
  </si>
  <si>
    <t>0.6218487394957983</t>
  </si>
  <si>
    <t>2026-02-26T09:52:56.182418</t>
  </si>
  <si>
    <t>0.5524695236898327</t>
  </si>
  <si>
    <t>0.6179900765419006</t>
  </si>
  <si>
    <t>0.5806020066889631</t>
  </si>
  <si>
    <t>0.4333205961024073</t>
  </si>
  <si>
    <t>0.5667752442996742</t>
  </si>
  <si>
    <t>0.5876010781671158</t>
  </si>
  <si>
    <t>0.6885398626327515</t>
  </si>
  <si>
    <t>0.6043478260869566</t>
  </si>
  <si>
    <t>0.3766233766233766</t>
  </si>
  <si>
    <t>0.4612476370510397</t>
  </si>
  <si>
    <t>0.5931034482758619</t>
  </si>
  <si>
    <t>0.6960352422907489</t>
  </si>
  <si>
    <t>0.7348643006263048</t>
  </si>
  <si>
    <t>0.5823218997361478</t>
  </si>
  <si>
    <t>0.6634013652801514</t>
  </si>
  <si>
    <t>0.5993788819875776</t>
  </si>
  <si>
    <t>0.4663931839697065</t>
  </si>
  <si>
    <t>0.7419354838709677</t>
  </si>
  <si>
    <t>0.6696428571428571</t>
  </si>
  <si>
    <t>0.7310924369747899</t>
  </si>
  <si>
    <t>0.5810203542162306</t>
  </si>
  <si>
    <t>/content/drive/MyDrive/ner_tei/42/checkpoint-1600</t>
  </si>
  <si>
    <t>/content/drive/MyDrive/ner_tei/43/checkpoint-1600</t>
  </si>
  <si>
    <t>seed</t>
  </si>
  <si>
    <t>/content/drive/MyDrive/ner_tei/42/checkpoint-1200</t>
  </si>
  <si>
    <t>/content/drive/MyDrive/ner_tei/42/checkpoint-2000</t>
  </si>
  <si>
    <t>/content/drive/MyDrive/ner_tei/43/checkpoint-2000</t>
  </si>
  <si>
    <t>f1_average</t>
  </si>
  <si>
    <t>mean f1</t>
  </si>
  <si>
    <t>sd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</si>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</sst>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164" fontId="0" fillId="0" borderId="0" xfId="0" applyNumberFormat="1"/>
    <xf numFmtId="164" fontId="0" fillId="0" borderId="0" xfId="0" quotePrefix="1" applyNumberFormat="1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quotePrefix="1" applyFill="1"/>
    <xf numFmtId="164" fontId="0" fillId="33" borderId="0" xfId="0" applyNumberFormat="1" applyFill="1"/>
    <xf numFmtId="164" fontId="0" fillId="33" borderId="0" xfId="0" quotePrefix="1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40AB-374E-405B-9BFD-FE9FAC94B894}">
  <dimension ref="A1:AQ66"/>
  <sheetViews>
    <sheetView tabSelected="1" topLeftCell="AH45" workbookViewId="0">
      <selection activeCell="AM73" sqref="AM73"/>
    </sheetView>
  </sheetViews>
  <sheetFormatPr defaultRowHeight="14.25" x14ac:dyDescent="0.45"/>
  <cols>
    <col min="1" max="1" width="9.1328125" customWidth="1"/>
    <col min="2" max="2" width="6.86328125" customWidth="1"/>
    <col min="3" max="3" width="43.33203125" customWidth="1"/>
    <col min="4" max="4" width="5.46484375" customWidth="1"/>
    <col min="12" max="12" width="21.796875" customWidth="1"/>
    <col min="14" max="14" width="16.19921875" customWidth="1"/>
    <col min="15" max="15" width="13.53125" customWidth="1"/>
    <col min="16" max="16" width="24.6640625" customWidth="1"/>
    <col min="17" max="17" width="10.265625" style="2" bestFit="1" customWidth="1"/>
    <col min="25" max="25" width="19.73046875" style="5" customWidth="1"/>
    <col min="26" max="26" width="20.265625" customWidth="1"/>
    <col min="27" max="27" width="19.19921875" customWidth="1"/>
    <col min="28" max="28" width="21.06640625" customWidth="1"/>
    <col min="29" max="29" width="20.1328125" customWidth="1"/>
    <col min="30" max="30" width="24.3984375" customWidth="1"/>
    <col min="31" max="31" width="22.6640625" customWidth="1"/>
    <col min="32" max="32" width="19.86328125" customWidth="1"/>
    <col min="33" max="33" width="22" style="5" customWidth="1"/>
    <col min="34" max="34" width="23.46484375" customWidth="1"/>
    <col min="35" max="35" width="16.3984375" customWidth="1"/>
    <col min="36" max="36" width="18" customWidth="1"/>
    <col min="37" max="37" width="18.3984375" customWidth="1"/>
    <col min="38" max="38" width="15.73046875" customWidth="1"/>
    <col min="39" max="39" width="17.86328125" customWidth="1"/>
    <col min="40" max="40" width="22.53125" customWidth="1"/>
    <col min="41" max="41" width="19.73046875" customWidth="1"/>
  </cols>
  <sheetData>
    <row r="1" spans="1:43" x14ac:dyDescent="0.45">
      <c r="A1" t="s">
        <v>627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2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5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s="5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45">
      <c r="A2">
        <v>42</v>
      </c>
      <c r="B2" t="s">
        <v>42</v>
      </c>
      <c r="C2" t="s">
        <v>43</v>
      </c>
      <c r="D2" t="s">
        <v>44</v>
      </c>
      <c r="E2" s="1" t="s">
        <v>45</v>
      </c>
      <c r="F2">
        <v>0.01</v>
      </c>
      <c r="G2">
        <v>16</v>
      </c>
      <c r="H2">
        <v>8</v>
      </c>
      <c r="I2">
        <v>2</v>
      </c>
      <c r="J2">
        <v>400</v>
      </c>
      <c r="K2">
        <v>400</v>
      </c>
      <c r="L2">
        <v>0.48751714677640601</v>
      </c>
      <c r="M2" t="s">
        <v>625</v>
      </c>
      <c r="N2">
        <v>1992</v>
      </c>
      <c r="O2" t="s">
        <v>46</v>
      </c>
      <c r="P2">
        <v>0.63784497976303101</v>
      </c>
      <c r="Q2" s="3">
        <v>0.44370335080196899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5">
        <v>0.51247248716067495</v>
      </c>
      <c r="Z2" s="1">
        <v>0.51195499296765101</v>
      </c>
      <c r="AA2" s="1">
        <v>0.439024390243902</v>
      </c>
      <c r="AB2" s="1">
        <v>0.46953405017921102</v>
      </c>
      <c r="AC2" s="1">
        <v>0.66666666666666596</v>
      </c>
      <c r="AD2" s="1">
        <v>0.75652173913043397</v>
      </c>
      <c r="AE2" s="1">
        <v>0.47899159663865498</v>
      </c>
      <c r="AF2" s="1">
        <v>0.58888888888888802</v>
      </c>
      <c r="AG2" s="5">
        <v>0.39120694483337998</v>
      </c>
      <c r="AH2" s="1">
        <v>0.50345781466113404</v>
      </c>
      <c r="AI2">
        <v>6.6420664206641999E-2</v>
      </c>
      <c r="AJ2" s="1">
        <v>0.287912087912087</v>
      </c>
      <c r="AK2" s="1">
        <v>0.25806451612903197</v>
      </c>
      <c r="AL2" s="1">
        <v>0.78378378378378299</v>
      </c>
      <c r="AM2" s="1">
        <v>0.34969325153374198</v>
      </c>
      <c r="AN2" s="1">
        <v>0.57608695652173902</v>
      </c>
      <c r="AO2">
        <v>6.1684999999999999</v>
      </c>
      <c r="AP2">
        <v>293.26499999999999</v>
      </c>
      <c r="AQ2">
        <v>18.481000000000002</v>
      </c>
    </row>
    <row r="3" spans="1:43" x14ac:dyDescent="0.45">
      <c r="A3">
        <v>42</v>
      </c>
      <c r="B3" t="s">
        <v>42</v>
      </c>
      <c r="C3" t="s">
        <v>43</v>
      </c>
      <c r="D3" t="s">
        <v>44</v>
      </c>
      <c r="E3" s="1" t="s">
        <v>45</v>
      </c>
      <c r="F3">
        <v>0.01</v>
      </c>
      <c r="G3">
        <v>16</v>
      </c>
      <c r="H3">
        <v>8</v>
      </c>
      <c r="I3">
        <v>2</v>
      </c>
      <c r="J3">
        <v>400</v>
      </c>
      <c r="K3">
        <v>400</v>
      </c>
      <c r="L3">
        <v>0.48751714677640601</v>
      </c>
      <c r="M3" t="s">
        <v>625</v>
      </c>
      <c r="N3">
        <v>1992</v>
      </c>
      <c r="O3" t="s">
        <v>64</v>
      </c>
      <c r="P3" s="1" t="s">
        <v>65</v>
      </c>
      <c r="Q3" s="3">
        <v>0.486071085494716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5">
        <v>0.56563398275311405</v>
      </c>
      <c r="Z3" s="1">
        <v>0.58031442241968501</v>
      </c>
      <c r="AA3" s="1">
        <v>0.61538461538461497</v>
      </c>
      <c r="AB3" s="1">
        <v>0.481081081081081</v>
      </c>
      <c r="AC3" s="1">
        <v>0.63414634146341398</v>
      </c>
      <c r="AD3" s="1">
        <v>0.77142857142857102</v>
      </c>
      <c r="AE3">
        <v>0.64893617021276595</v>
      </c>
      <c r="AF3" s="1">
        <v>0.736363636363636</v>
      </c>
      <c r="AG3" s="6" t="s">
        <v>73</v>
      </c>
      <c r="AH3" s="1">
        <v>0.51863164324984701</v>
      </c>
      <c r="AI3" s="1">
        <v>0.118226600985221</v>
      </c>
      <c r="AJ3" s="1">
        <v>0.32129963898916902</v>
      </c>
      <c r="AK3" s="1">
        <v>0.329113924050632</v>
      </c>
      <c r="AL3">
        <v>0.54</v>
      </c>
      <c r="AM3" s="1">
        <v>0.51046025104602499</v>
      </c>
      <c r="AN3" s="1">
        <v>0.68644067796610098</v>
      </c>
      <c r="AO3">
        <v>4.7747000000000002</v>
      </c>
      <c r="AP3">
        <v>318.13499999999999</v>
      </c>
      <c r="AQ3">
        <v>19.896999999999998</v>
      </c>
    </row>
    <row r="4" spans="1:43" x14ac:dyDescent="0.45">
      <c r="A4">
        <v>42</v>
      </c>
      <c r="B4" t="s">
        <v>83</v>
      </c>
      <c r="C4" t="s">
        <v>43</v>
      </c>
      <c r="D4" t="s">
        <v>44</v>
      </c>
      <c r="E4" s="1" t="s">
        <v>84</v>
      </c>
      <c r="F4">
        <v>0.01</v>
      </c>
      <c r="G4">
        <v>16</v>
      </c>
      <c r="H4">
        <v>8</v>
      </c>
      <c r="I4">
        <v>2</v>
      </c>
      <c r="J4">
        <v>400</v>
      </c>
      <c r="K4">
        <v>400</v>
      </c>
      <c r="L4" s="1" t="s">
        <v>85</v>
      </c>
      <c r="M4" t="s">
        <v>625</v>
      </c>
      <c r="N4">
        <v>1992</v>
      </c>
      <c r="O4" t="s">
        <v>46</v>
      </c>
      <c r="P4" s="1" t="s">
        <v>86</v>
      </c>
      <c r="Q4" s="3">
        <v>0.48591237645670399</v>
      </c>
      <c r="R4" s="1" t="s">
        <v>87</v>
      </c>
      <c r="S4" s="1" t="s">
        <v>88</v>
      </c>
      <c r="T4" s="1" t="s">
        <v>89</v>
      </c>
      <c r="U4" s="1" t="s">
        <v>90</v>
      </c>
      <c r="V4" s="1" t="s">
        <v>91</v>
      </c>
      <c r="W4">
        <v>0.44599303135888502</v>
      </c>
      <c r="X4" s="1" t="s">
        <v>92</v>
      </c>
      <c r="Y4" s="6" t="s">
        <v>93</v>
      </c>
      <c r="Z4" s="1">
        <v>0.53731343283582</v>
      </c>
      <c r="AA4">
        <v>0.3515625</v>
      </c>
      <c r="AB4" s="1">
        <v>0.458372310570626</v>
      </c>
      <c r="AC4" s="1">
        <v>0.52173913043478204</v>
      </c>
      <c r="AD4">
        <v>0.70676691729323304</v>
      </c>
      <c r="AE4" s="1">
        <v>0.51612903225806395</v>
      </c>
      <c r="AF4">
        <v>0.6</v>
      </c>
      <c r="AG4" s="5">
        <v>0.46121534584150098</v>
      </c>
      <c r="AH4" s="1">
        <v>0.57261410788381695</v>
      </c>
      <c r="AI4" s="1">
        <v>0.166051660516605</v>
      </c>
      <c r="AJ4">
        <v>0.35897435897435898</v>
      </c>
      <c r="AK4" s="1">
        <v>0.38709677419354799</v>
      </c>
      <c r="AL4" s="1">
        <v>0.84684684684684597</v>
      </c>
      <c r="AM4" s="1">
        <v>0.39263803680981502</v>
      </c>
      <c r="AN4" s="1">
        <v>0.61956521739130399</v>
      </c>
      <c r="AO4">
        <v>6.0014000000000003</v>
      </c>
      <c r="AP4">
        <v>301.43099999999998</v>
      </c>
      <c r="AQ4">
        <v>18.995999999999999</v>
      </c>
    </row>
    <row r="5" spans="1:43" x14ac:dyDescent="0.45">
      <c r="A5">
        <v>42</v>
      </c>
      <c r="B5" t="s">
        <v>83</v>
      </c>
      <c r="C5" t="s">
        <v>43</v>
      </c>
      <c r="D5" t="s">
        <v>44</v>
      </c>
      <c r="E5" s="1" t="s">
        <v>84</v>
      </c>
      <c r="F5">
        <v>0.01</v>
      </c>
      <c r="G5">
        <v>16</v>
      </c>
      <c r="H5">
        <v>8</v>
      </c>
      <c r="I5">
        <v>2</v>
      </c>
      <c r="J5">
        <v>400</v>
      </c>
      <c r="K5">
        <v>400</v>
      </c>
      <c r="L5" s="1" t="s">
        <v>85</v>
      </c>
      <c r="M5" t="s">
        <v>625</v>
      </c>
      <c r="N5">
        <v>1992</v>
      </c>
      <c r="O5" t="s">
        <v>64</v>
      </c>
      <c r="P5" s="1" t="s">
        <v>107</v>
      </c>
      <c r="Q5" s="2">
        <v>0.53203124999999996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6" t="s">
        <v>115</v>
      </c>
      <c r="Z5" s="1">
        <v>0.58974358974358898</v>
      </c>
      <c r="AA5" s="1">
        <v>0.45054945054945</v>
      </c>
      <c r="AB5" s="1">
        <v>0.52088258471237103</v>
      </c>
      <c r="AC5" s="1">
        <v>0.66666666666666596</v>
      </c>
      <c r="AD5" s="1">
        <v>0.74444444444444402</v>
      </c>
      <c r="AE5" s="1">
        <v>0.64583333333333304</v>
      </c>
      <c r="AF5" s="1">
        <v>0.74672489082969395</v>
      </c>
      <c r="AG5" s="6" t="s">
        <v>116</v>
      </c>
      <c r="AH5" s="1">
        <v>0.57605375687232696</v>
      </c>
      <c r="AI5" s="1">
        <v>0.201970443349753</v>
      </c>
      <c r="AJ5" s="1">
        <v>0.39771359807460799</v>
      </c>
      <c r="AK5" s="1">
        <v>0.455696202531645</v>
      </c>
      <c r="AL5">
        <v>0.67</v>
      </c>
      <c r="AM5" s="1">
        <v>0.51882845188284499</v>
      </c>
      <c r="AN5" s="1">
        <v>0.72457627118643997</v>
      </c>
      <c r="AO5">
        <v>4.7133000000000003</v>
      </c>
      <c r="AP5">
        <v>322.27800000000002</v>
      </c>
      <c r="AQ5">
        <v>20.155999999999999</v>
      </c>
    </row>
    <row r="6" spans="1:43" x14ac:dyDescent="0.45">
      <c r="A6">
        <v>42</v>
      </c>
      <c r="B6" t="s">
        <v>124</v>
      </c>
      <c r="C6" t="s">
        <v>43</v>
      </c>
      <c r="D6" t="s">
        <v>44</v>
      </c>
      <c r="E6" s="1" t="s">
        <v>125</v>
      </c>
      <c r="F6">
        <v>0.01</v>
      </c>
      <c r="G6">
        <v>16</v>
      </c>
      <c r="H6">
        <v>8</v>
      </c>
      <c r="I6">
        <v>2</v>
      </c>
      <c r="J6">
        <v>400</v>
      </c>
      <c r="K6">
        <v>400</v>
      </c>
      <c r="L6" s="1" t="s">
        <v>126</v>
      </c>
      <c r="M6" t="s">
        <v>625</v>
      </c>
      <c r="N6">
        <v>1992</v>
      </c>
      <c r="O6" t="s">
        <v>46</v>
      </c>
      <c r="P6" s="1" t="s">
        <v>127</v>
      </c>
      <c r="Q6" s="2">
        <v>0.50341520127888395</v>
      </c>
      <c r="R6" s="1" t="s">
        <v>128</v>
      </c>
      <c r="S6" s="1" t="s">
        <v>129</v>
      </c>
      <c r="T6">
        <v>0.42273819055244199</v>
      </c>
      <c r="U6" s="1" t="s">
        <v>130</v>
      </c>
      <c r="V6" s="1" t="s">
        <v>131</v>
      </c>
      <c r="W6" s="1" t="s">
        <v>132</v>
      </c>
      <c r="X6" s="1" t="s">
        <v>133</v>
      </c>
      <c r="Y6" s="6" t="s">
        <v>134</v>
      </c>
      <c r="Z6" s="1">
        <v>0.55706874189364397</v>
      </c>
      <c r="AA6" s="1">
        <v>0.38216560509554098</v>
      </c>
      <c r="AB6" s="1">
        <v>0.466019417475728</v>
      </c>
      <c r="AC6" s="1">
        <v>0.46153846153846101</v>
      </c>
      <c r="AD6" s="1">
        <v>0.72307692307692295</v>
      </c>
      <c r="AE6">
        <v>0.52800000000000002</v>
      </c>
      <c r="AF6" s="1">
        <v>0.57360406091370497</v>
      </c>
      <c r="AG6" s="6" t="s">
        <v>135</v>
      </c>
      <c r="AH6" s="1">
        <v>0.59405255878284902</v>
      </c>
      <c r="AI6" s="1">
        <v>0.22140221402214</v>
      </c>
      <c r="AJ6" s="1">
        <v>0.38681318681318599</v>
      </c>
      <c r="AK6" s="1">
        <v>0.38709677419354799</v>
      </c>
      <c r="AL6" s="1">
        <v>0.84684684684684597</v>
      </c>
      <c r="AM6" s="1">
        <v>0.40490797546012203</v>
      </c>
      <c r="AN6" s="1">
        <v>0.61413043478260798</v>
      </c>
      <c r="AO6">
        <v>5.8941999999999997</v>
      </c>
      <c r="AP6">
        <v>306.91199999999998</v>
      </c>
      <c r="AQ6">
        <v>19.341000000000001</v>
      </c>
    </row>
    <row r="7" spans="1:43" x14ac:dyDescent="0.45">
      <c r="A7">
        <v>42</v>
      </c>
      <c r="B7" t="s">
        <v>124</v>
      </c>
      <c r="C7" t="s">
        <v>43</v>
      </c>
      <c r="D7" t="s">
        <v>44</v>
      </c>
      <c r="E7" s="1" t="s">
        <v>125</v>
      </c>
      <c r="F7">
        <v>0.01</v>
      </c>
      <c r="G7">
        <v>16</v>
      </c>
      <c r="H7">
        <v>8</v>
      </c>
      <c r="I7">
        <v>2</v>
      </c>
      <c r="J7">
        <v>400</v>
      </c>
      <c r="K7">
        <v>400</v>
      </c>
      <c r="L7" s="1" t="s">
        <v>126</v>
      </c>
      <c r="M7" t="s">
        <v>625</v>
      </c>
      <c r="N7">
        <v>1992</v>
      </c>
      <c r="O7" t="s">
        <v>64</v>
      </c>
      <c r="P7" s="1" t="s">
        <v>147</v>
      </c>
      <c r="Q7" s="3">
        <v>0.54608472400513397</v>
      </c>
      <c r="R7" s="1" t="s">
        <v>148</v>
      </c>
      <c r="S7" s="1" t="s">
        <v>149</v>
      </c>
      <c r="T7" s="1" t="s">
        <v>150</v>
      </c>
      <c r="U7" s="1" t="s">
        <v>151</v>
      </c>
      <c r="V7" s="1" t="s">
        <v>152</v>
      </c>
      <c r="W7" s="1" t="s">
        <v>153</v>
      </c>
      <c r="X7" s="1" t="s">
        <v>154</v>
      </c>
      <c r="Y7" s="5">
        <v>0.58530544854155198</v>
      </c>
      <c r="Z7" s="1">
        <v>0.60373831775700904</v>
      </c>
      <c r="AA7" s="1">
        <v>0.45098039215686198</v>
      </c>
      <c r="AB7" s="1">
        <v>0.51762114537444903</v>
      </c>
      <c r="AC7" s="1">
        <v>0.66666666666666596</v>
      </c>
      <c r="AD7" s="1">
        <v>0.78888888888888797</v>
      </c>
      <c r="AE7" s="1">
        <v>0.67021276595744605</v>
      </c>
      <c r="AF7" s="1">
        <v>0.74782608695652097</v>
      </c>
      <c r="AG7" s="6" t="s">
        <v>155</v>
      </c>
      <c r="AH7" s="1">
        <v>0.59193646915088505</v>
      </c>
      <c r="AI7" s="1">
        <v>0.22660098522167399</v>
      </c>
      <c r="AJ7" s="1">
        <v>0.42418772563176799</v>
      </c>
      <c r="AK7" s="1">
        <v>0.481012658227848</v>
      </c>
      <c r="AL7">
        <v>0.71</v>
      </c>
      <c r="AM7" s="1">
        <v>0.52719665271966498</v>
      </c>
      <c r="AN7" s="1">
        <v>0.72881355932203296</v>
      </c>
      <c r="AO7">
        <v>4.8691000000000004</v>
      </c>
      <c r="AP7">
        <v>311.96600000000001</v>
      </c>
      <c r="AQ7">
        <v>19.510999999999999</v>
      </c>
    </row>
    <row r="8" spans="1:43" x14ac:dyDescent="0.45">
      <c r="A8">
        <v>43</v>
      </c>
      <c r="B8" t="s">
        <v>55</v>
      </c>
      <c r="C8" t="s">
        <v>43</v>
      </c>
      <c r="D8" t="s">
        <v>44</v>
      </c>
      <c r="E8" s="1" t="s">
        <v>45</v>
      </c>
      <c r="F8">
        <v>0.01</v>
      </c>
      <c r="G8">
        <v>16</v>
      </c>
      <c r="H8">
        <v>8</v>
      </c>
      <c r="I8">
        <v>2</v>
      </c>
      <c r="J8">
        <v>400</v>
      </c>
      <c r="K8">
        <v>400</v>
      </c>
      <c r="L8" s="1" t="s">
        <v>56</v>
      </c>
      <c r="M8" t="s">
        <v>626</v>
      </c>
      <c r="N8">
        <v>1992</v>
      </c>
      <c r="O8" t="s">
        <v>46</v>
      </c>
      <c r="P8" s="1" t="s">
        <v>57</v>
      </c>
      <c r="Q8" s="3">
        <v>0.45946355508410303</v>
      </c>
      <c r="R8" s="1" t="s">
        <v>58</v>
      </c>
      <c r="S8">
        <v>0.12422360248447201</v>
      </c>
      <c r="T8" s="1" t="s">
        <v>59</v>
      </c>
      <c r="U8">
        <v>0.35</v>
      </c>
      <c r="V8" s="1" t="s">
        <v>60</v>
      </c>
      <c r="W8" s="1" t="s">
        <v>61</v>
      </c>
      <c r="X8">
        <v>0.58563535911602205</v>
      </c>
      <c r="Y8" s="6" t="s">
        <v>62</v>
      </c>
      <c r="Z8" s="1">
        <v>0.51515151515151503</v>
      </c>
      <c r="AA8">
        <v>0.39215686274509798</v>
      </c>
      <c r="AB8" s="1">
        <v>0.43893129770992301</v>
      </c>
      <c r="AC8" s="1">
        <v>0.77777777777777701</v>
      </c>
      <c r="AD8" s="1">
        <v>0.75206611570247905</v>
      </c>
      <c r="AE8" s="1">
        <v>0.485436893203883</v>
      </c>
      <c r="AF8" s="1">
        <v>0.59550561797752799</v>
      </c>
      <c r="AG8" s="6" t="s">
        <v>63</v>
      </c>
      <c r="AH8" s="1">
        <v>0.54080221300138298</v>
      </c>
      <c r="AI8">
        <v>7.3800738007380004E-2</v>
      </c>
      <c r="AJ8">
        <v>0.33699633699633702</v>
      </c>
      <c r="AK8" s="1">
        <v>0.225806451612903</v>
      </c>
      <c r="AL8" s="1">
        <v>0.819819819819819</v>
      </c>
      <c r="AM8" s="1">
        <v>0.306748466257668</v>
      </c>
      <c r="AN8" s="1">
        <v>0.57608695652173902</v>
      </c>
      <c r="AO8">
        <v>6.0151000000000003</v>
      </c>
      <c r="AP8">
        <v>300.74099999999999</v>
      </c>
      <c r="AQ8">
        <v>18.952000000000002</v>
      </c>
    </row>
    <row r="9" spans="1:43" x14ac:dyDescent="0.45">
      <c r="A9">
        <v>43</v>
      </c>
      <c r="B9" t="s">
        <v>55</v>
      </c>
      <c r="C9" t="s">
        <v>43</v>
      </c>
      <c r="D9" t="s">
        <v>44</v>
      </c>
      <c r="E9" s="1" t="s">
        <v>45</v>
      </c>
      <c r="F9">
        <v>0.01</v>
      </c>
      <c r="G9">
        <v>16</v>
      </c>
      <c r="H9">
        <v>8</v>
      </c>
      <c r="I9">
        <v>2</v>
      </c>
      <c r="J9">
        <v>400</v>
      </c>
      <c r="K9">
        <v>400</v>
      </c>
      <c r="L9" s="1" t="s">
        <v>56</v>
      </c>
      <c r="M9" t="s">
        <v>626</v>
      </c>
      <c r="N9">
        <v>1992</v>
      </c>
      <c r="O9" t="s">
        <v>64</v>
      </c>
      <c r="P9" s="1" t="s">
        <v>74</v>
      </c>
      <c r="Q9" s="3">
        <v>0.49835027055562803</v>
      </c>
      <c r="R9" s="1" t="s">
        <v>75</v>
      </c>
      <c r="S9" s="1" t="s">
        <v>76</v>
      </c>
      <c r="T9" s="1" t="s">
        <v>77</v>
      </c>
      <c r="U9" s="1" t="s">
        <v>78</v>
      </c>
      <c r="V9" s="1" t="s">
        <v>79</v>
      </c>
      <c r="W9" s="1" t="s">
        <v>80</v>
      </c>
      <c r="X9" s="1" t="s">
        <v>81</v>
      </c>
      <c r="Y9" s="5">
        <v>0.55188541362174803</v>
      </c>
      <c r="Z9">
        <v>0.57069408740359895</v>
      </c>
      <c r="AA9" s="1">
        <v>0.57777777777777695</v>
      </c>
      <c r="AB9" s="1">
        <v>0.46447270007479402</v>
      </c>
      <c r="AC9" s="1">
        <v>0.67741935483870896</v>
      </c>
      <c r="AD9" s="1">
        <v>0.82089552238805896</v>
      </c>
      <c r="AE9" s="1">
        <v>0.68263473053892199</v>
      </c>
      <c r="AF9" s="1">
        <v>0.74770642201834803</v>
      </c>
      <c r="AG9" s="6" t="s">
        <v>82</v>
      </c>
      <c r="AH9" s="1">
        <v>0.54245571166768403</v>
      </c>
      <c r="AI9" s="1">
        <v>0.12807881773398999</v>
      </c>
      <c r="AJ9" s="1">
        <v>0.37364620938628101</v>
      </c>
      <c r="AK9" s="1">
        <v>0.265822784810126</v>
      </c>
      <c r="AL9">
        <v>0.55000000000000004</v>
      </c>
      <c r="AM9" s="1">
        <v>0.47698744769874402</v>
      </c>
      <c r="AN9">
        <v>0.69067796610169496</v>
      </c>
      <c r="AO9">
        <v>4.9451000000000001</v>
      </c>
      <c r="AP9">
        <v>307.173</v>
      </c>
      <c r="AQ9">
        <v>19.210999999999999</v>
      </c>
    </row>
    <row r="10" spans="1:43" x14ac:dyDescent="0.45">
      <c r="A10">
        <v>43</v>
      </c>
      <c r="B10" t="s">
        <v>95</v>
      </c>
      <c r="C10" t="s">
        <v>43</v>
      </c>
      <c r="D10" t="s">
        <v>44</v>
      </c>
      <c r="E10" s="1" t="s">
        <v>84</v>
      </c>
      <c r="F10">
        <v>0.01</v>
      </c>
      <c r="G10">
        <v>16</v>
      </c>
      <c r="H10">
        <v>8</v>
      </c>
      <c r="I10">
        <v>2</v>
      </c>
      <c r="J10">
        <v>400</v>
      </c>
      <c r="K10">
        <v>400</v>
      </c>
      <c r="L10" s="1" t="s">
        <v>96</v>
      </c>
      <c r="M10" t="s">
        <v>626</v>
      </c>
      <c r="N10">
        <v>1992</v>
      </c>
      <c r="O10" t="s">
        <v>46</v>
      </c>
      <c r="P10" s="1" t="s">
        <v>97</v>
      </c>
      <c r="Q10" s="2">
        <v>0.488722884643011</v>
      </c>
      <c r="R10" s="1" t="s">
        <v>98</v>
      </c>
      <c r="S10" s="1" t="s">
        <v>99</v>
      </c>
      <c r="T10" s="1" t="s">
        <v>100</v>
      </c>
      <c r="U10" s="1" t="s">
        <v>101</v>
      </c>
      <c r="V10" s="1" t="s">
        <v>102</v>
      </c>
      <c r="W10" s="1" t="s">
        <v>103</v>
      </c>
      <c r="X10" s="1" t="s">
        <v>104</v>
      </c>
      <c r="Y10" s="6" t="s">
        <v>105</v>
      </c>
      <c r="Z10" s="1">
        <v>0.54039735099337705</v>
      </c>
      <c r="AA10" s="1">
        <v>0.360902255639097</v>
      </c>
      <c r="AB10" s="1">
        <v>0.437647058823529</v>
      </c>
      <c r="AC10" s="1">
        <v>0.44444444444444398</v>
      </c>
      <c r="AD10" s="1">
        <v>0.70149253731343197</v>
      </c>
      <c r="AE10" s="1">
        <v>0.52100840336134402</v>
      </c>
      <c r="AF10">
        <v>0.578125</v>
      </c>
      <c r="AG10" s="6" t="s">
        <v>106</v>
      </c>
      <c r="AH10" s="1">
        <v>0.56431535269709499</v>
      </c>
      <c r="AI10" s="1">
        <v>0.177121771217712</v>
      </c>
      <c r="AJ10" s="1">
        <v>0.40879120879120801</v>
      </c>
      <c r="AK10" s="1">
        <v>0.38709677419354799</v>
      </c>
      <c r="AL10" s="1">
        <v>0.84684684684684597</v>
      </c>
      <c r="AM10" s="1">
        <v>0.380368098159509</v>
      </c>
      <c r="AN10" s="1">
        <v>0.60326086956521696</v>
      </c>
      <c r="AO10">
        <v>6.0869999999999997</v>
      </c>
      <c r="AP10">
        <v>297.19299999999998</v>
      </c>
      <c r="AQ10">
        <v>18.728999999999999</v>
      </c>
    </row>
    <row r="11" spans="1:43" x14ac:dyDescent="0.45">
      <c r="A11">
        <v>43</v>
      </c>
      <c r="B11" t="s">
        <v>95</v>
      </c>
      <c r="C11" t="s">
        <v>43</v>
      </c>
      <c r="D11" t="s">
        <v>44</v>
      </c>
      <c r="E11" s="1" t="s">
        <v>84</v>
      </c>
      <c r="F11">
        <v>0.01</v>
      </c>
      <c r="G11">
        <v>16</v>
      </c>
      <c r="H11">
        <v>8</v>
      </c>
      <c r="I11">
        <v>2</v>
      </c>
      <c r="J11">
        <v>400</v>
      </c>
      <c r="K11">
        <v>400</v>
      </c>
      <c r="L11" s="1" t="s">
        <v>96</v>
      </c>
      <c r="M11" t="s">
        <v>626</v>
      </c>
      <c r="N11">
        <v>1992</v>
      </c>
      <c r="O11" t="s">
        <v>64</v>
      </c>
      <c r="P11" s="1" t="s">
        <v>117</v>
      </c>
      <c r="Q11" s="3">
        <v>0.528311425682507</v>
      </c>
      <c r="R11">
        <v>0.57917981072555202</v>
      </c>
      <c r="S11" s="1" t="s">
        <v>118</v>
      </c>
      <c r="T11" s="1" t="s">
        <v>119</v>
      </c>
      <c r="U11" s="1" t="s">
        <v>120</v>
      </c>
      <c r="V11">
        <v>0.71657754010695196</v>
      </c>
      <c r="W11">
        <v>0.59207459207459201</v>
      </c>
      <c r="X11" s="1" t="s">
        <v>121</v>
      </c>
      <c r="Y11" s="6" t="s">
        <v>122</v>
      </c>
      <c r="Z11">
        <v>0.598825831702544</v>
      </c>
      <c r="AA11">
        <v>0.4</v>
      </c>
      <c r="AB11" s="1">
        <v>0.47167409293443602</v>
      </c>
      <c r="AC11" s="1">
        <v>0.61403508771929804</v>
      </c>
      <c r="AD11" s="1">
        <v>0.77011494252873502</v>
      </c>
      <c r="AE11" s="1">
        <v>0.66842105263157803</v>
      </c>
      <c r="AF11" s="1">
        <v>0.72807017543859598</v>
      </c>
      <c r="AG11" s="6" t="s">
        <v>123</v>
      </c>
      <c r="AH11" s="1">
        <v>0.56078191814294398</v>
      </c>
      <c r="AI11" s="1">
        <v>0.17733990147783199</v>
      </c>
      <c r="AJ11" s="1">
        <v>0.44584837545126299</v>
      </c>
      <c r="AK11" s="1">
        <v>0.443037974683544</v>
      </c>
      <c r="AL11">
        <v>0.67</v>
      </c>
      <c r="AM11" s="1">
        <v>0.53138075313807498</v>
      </c>
      <c r="AN11" s="1">
        <v>0.70338983050847403</v>
      </c>
      <c r="AO11">
        <v>4.9561000000000002</v>
      </c>
      <c r="AP11">
        <v>306.49099999999999</v>
      </c>
      <c r="AQ11">
        <v>19.167999999999999</v>
      </c>
    </row>
    <row r="12" spans="1:43" x14ac:dyDescent="0.45">
      <c r="A12">
        <v>43</v>
      </c>
      <c r="B12" t="s">
        <v>136</v>
      </c>
      <c r="C12" t="s">
        <v>43</v>
      </c>
      <c r="D12" t="s">
        <v>44</v>
      </c>
      <c r="E12" s="1" t="s">
        <v>125</v>
      </c>
      <c r="F12">
        <v>0.01</v>
      </c>
      <c r="G12">
        <v>16</v>
      </c>
      <c r="H12">
        <v>8</v>
      </c>
      <c r="I12">
        <v>2</v>
      </c>
      <c r="J12">
        <v>400</v>
      </c>
      <c r="K12">
        <v>400</v>
      </c>
      <c r="L12" s="1" t="s">
        <v>137</v>
      </c>
      <c r="M12" t="s">
        <v>626</v>
      </c>
      <c r="N12">
        <v>1992</v>
      </c>
      <c r="O12" t="s">
        <v>46</v>
      </c>
      <c r="P12" s="1" t="s">
        <v>138</v>
      </c>
      <c r="Q12" s="3">
        <v>0.49701110162254403</v>
      </c>
      <c r="R12" s="1" t="s">
        <v>139</v>
      </c>
      <c r="S12" s="1" t="s">
        <v>140</v>
      </c>
      <c r="T12" s="1" t="s">
        <v>141</v>
      </c>
      <c r="U12" s="1" t="s">
        <v>142</v>
      </c>
      <c r="V12" s="1" t="s">
        <v>143</v>
      </c>
      <c r="W12">
        <v>0.45614035087719301</v>
      </c>
      <c r="X12" s="1" t="s">
        <v>144</v>
      </c>
      <c r="Y12" s="6" t="s">
        <v>145</v>
      </c>
      <c r="Z12" s="1">
        <v>0.54509018036072099</v>
      </c>
      <c r="AA12" s="1">
        <v>0.37179487179487097</v>
      </c>
      <c r="AB12" s="1">
        <v>0.44628099173553698</v>
      </c>
      <c r="AC12" s="1">
        <v>0.54166666666666596</v>
      </c>
      <c r="AD12" s="1">
        <v>0.68656716417910402</v>
      </c>
      <c r="AE12" s="1">
        <v>0.53278688524590101</v>
      </c>
      <c r="AF12" s="1">
        <v>0.56544502617800996</v>
      </c>
      <c r="AG12" s="6" t="s">
        <v>146</v>
      </c>
      <c r="AH12" s="1">
        <v>0.56431535269709499</v>
      </c>
      <c r="AI12" s="1">
        <v>0.21402214022140201</v>
      </c>
      <c r="AJ12" s="1">
        <v>0.43516483516483501</v>
      </c>
      <c r="AK12" s="1">
        <v>0.41935483870967699</v>
      </c>
      <c r="AL12" s="1">
        <v>0.82882882882882802</v>
      </c>
      <c r="AM12" s="1">
        <v>0.39877300613496902</v>
      </c>
      <c r="AN12" s="1">
        <v>0.58695652173913004</v>
      </c>
      <c r="AO12">
        <v>6.0471000000000004</v>
      </c>
      <c r="AP12">
        <v>299.14999999999998</v>
      </c>
      <c r="AQ12">
        <v>18.852</v>
      </c>
    </row>
    <row r="13" spans="1:43" x14ac:dyDescent="0.45">
      <c r="A13">
        <v>43</v>
      </c>
      <c r="B13" t="s">
        <v>136</v>
      </c>
      <c r="C13" t="s">
        <v>43</v>
      </c>
      <c r="D13" t="s">
        <v>44</v>
      </c>
      <c r="E13" s="1" t="s">
        <v>125</v>
      </c>
      <c r="F13">
        <v>0.01</v>
      </c>
      <c r="G13">
        <v>16</v>
      </c>
      <c r="H13">
        <v>8</v>
      </c>
      <c r="I13">
        <v>2</v>
      </c>
      <c r="J13">
        <v>400</v>
      </c>
      <c r="K13">
        <v>400</v>
      </c>
      <c r="L13" s="1" t="s">
        <v>137</v>
      </c>
      <c r="M13" t="s">
        <v>626</v>
      </c>
      <c r="N13">
        <v>1992</v>
      </c>
      <c r="O13" t="s">
        <v>64</v>
      </c>
      <c r="P13" s="1" t="s">
        <v>156</v>
      </c>
      <c r="Q13" s="3">
        <v>0.53703000379794896</v>
      </c>
      <c r="R13" s="1" t="s">
        <v>157</v>
      </c>
      <c r="S13" s="1" t="s">
        <v>158</v>
      </c>
      <c r="T13" s="1" t="s">
        <v>159</v>
      </c>
      <c r="U13" s="1" t="s">
        <v>160</v>
      </c>
      <c r="V13" s="1" t="s">
        <v>161</v>
      </c>
      <c r="W13" s="1" t="s">
        <v>162</v>
      </c>
      <c r="X13">
        <v>0.71186440677966101</v>
      </c>
      <c r="Y13" s="6" t="s">
        <v>163</v>
      </c>
      <c r="Z13">
        <v>0.60431654676258995</v>
      </c>
      <c r="AA13" s="1">
        <v>0.42452830188679203</v>
      </c>
      <c r="AB13" s="1">
        <v>0.48929266709928598</v>
      </c>
      <c r="AC13" s="1">
        <v>0.62068965517241304</v>
      </c>
      <c r="AD13" s="1">
        <v>0.77528089887640395</v>
      </c>
      <c r="AE13" s="1">
        <v>0.67934782608695599</v>
      </c>
      <c r="AF13">
        <v>0.71186440677966101</v>
      </c>
      <c r="AG13" s="6" t="s">
        <v>164</v>
      </c>
      <c r="AH13" s="1">
        <v>0.56444715943799595</v>
      </c>
      <c r="AI13" s="1">
        <v>0.22167487684729001</v>
      </c>
      <c r="AJ13" s="1">
        <v>0.45367027677496902</v>
      </c>
      <c r="AK13" s="1">
        <v>0.455696202531645</v>
      </c>
      <c r="AL13">
        <v>0.69</v>
      </c>
      <c r="AM13" s="1">
        <v>0.52301255230125498</v>
      </c>
      <c r="AN13">
        <v>0.71186440677966101</v>
      </c>
      <c r="AO13">
        <v>4.7632000000000003</v>
      </c>
      <c r="AP13">
        <v>318.89999999999998</v>
      </c>
      <c r="AQ13">
        <v>19.943999999999999</v>
      </c>
    </row>
    <row r="14" spans="1:43" x14ac:dyDescent="0.45">
      <c r="A14">
        <v>42</v>
      </c>
      <c r="B14" t="s">
        <v>165</v>
      </c>
      <c r="C14" t="s">
        <v>166</v>
      </c>
      <c r="D14" t="s">
        <v>167</v>
      </c>
      <c r="E14" s="1" t="s">
        <v>45</v>
      </c>
      <c r="F14">
        <v>0.01</v>
      </c>
      <c r="G14">
        <v>16</v>
      </c>
      <c r="H14">
        <v>8</v>
      </c>
      <c r="I14">
        <v>2</v>
      </c>
      <c r="J14">
        <v>400</v>
      </c>
      <c r="K14">
        <v>400</v>
      </c>
      <c r="L14" s="1" t="s">
        <v>168</v>
      </c>
      <c r="M14" t="s">
        <v>625</v>
      </c>
      <c r="N14">
        <v>1984</v>
      </c>
      <c r="O14" t="s">
        <v>46</v>
      </c>
      <c r="P14" s="1" t="s">
        <v>169</v>
      </c>
      <c r="Q14" s="3">
        <v>0.436447166921898</v>
      </c>
      <c r="R14" s="1" t="s">
        <v>170</v>
      </c>
      <c r="S14">
        <v>4.2553191489361701E-2</v>
      </c>
      <c r="T14" s="1" t="s">
        <v>171</v>
      </c>
      <c r="U14" s="1" t="s">
        <v>172</v>
      </c>
      <c r="V14" s="1" t="s">
        <v>173</v>
      </c>
      <c r="W14">
        <v>0.389261744966443</v>
      </c>
      <c r="X14">
        <v>0.55585831062670299</v>
      </c>
      <c r="Y14" s="6" t="s">
        <v>174</v>
      </c>
      <c r="Z14" s="1">
        <v>0.48079385403329</v>
      </c>
      <c r="AA14">
        <v>0.4</v>
      </c>
      <c r="AB14" s="1">
        <v>0.44501541623843699</v>
      </c>
      <c r="AC14">
        <v>1</v>
      </c>
      <c r="AD14" s="1">
        <v>0.76344086021505297</v>
      </c>
      <c r="AE14" s="1">
        <v>0.42028985507246303</v>
      </c>
      <c r="AF14" s="1">
        <v>0.55434782608695599</v>
      </c>
      <c r="AG14" s="6" t="s">
        <v>175</v>
      </c>
      <c r="AH14" s="1">
        <v>0.52080443828016598</v>
      </c>
      <c r="AI14">
        <v>2.2471910112359501E-2</v>
      </c>
      <c r="AJ14" s="1">
        <v>0.31652046783625698</v>
      </c>
      <c r="AK14" s="1">
        <v>0.12903225806451599</v>
      </c>
      <c r="AL14" s="1">
        <v>0.64545454545454495</v>
      </c>
      <c r="AM14">
        <v>0.36249999999999999</v>
      </c>
      <c r="AN14" s="1">
        <v>0.55737704918032704</v>
      </c>
      <c r="AO14">
        <v>5.6163999999999996</v>
      </c>
      <c r="AP14">
        <v>321.02499999999998</v>
      </c>
      <c r="AQ14">
        <v>20.12</v>
      </c>
    </row>
    <row r="15" spans="1:43" x14ac:dyDescent="0.45">
      <c r="A15">
        <v>42</v>
      </c>
      <c r="B15" t="s">
        <v>165</v>
      </c>
      <c r="C15" t="s">
        <v>166</v>
      </c>
      <c r="D15" t="s">
        <v>167</v>
      </c>
      <c r="E15" s="1" t="s">
        <v>45</v>
      </c>
      <c r="F15">
        <v>0.01</v>
      </c>
      <c r="G15">
        <v>16</v>
      </c>
      <c r="H15">
        <v>8</v>
      </c>
      <c r="I15">
        <v>2</v>
      </c>
      <c r="J15">
        <v>400</v>
      </c>
      <c r="K15">
        <v>400</v>
      </c>
      <c r="L15" s="1" t="s">
        <v>168</v>
      </c>
      <c r="M15" t="s">
        <v>625</v>
      </c>
      <c r="N15">
        <v>1984</v>
      </c>
      <c r="O15" t="s">
        <v>64</v>
      </c>
      <c r="P15" s="1" t="s">
        <v>188</v>
      </c>
      <c r="Q15" s="3">
        <v>0.48173207036535798</v>
      </c>
      <c r="R15" s="1" t="s">
        <v>189</v>
      </c>
      <c r="S15">
        <v>4.67289719626168E-2</v>
      </c>
      <c r="T15">
        <v>0.39915522703273498</v>
      </c>
      <c r="U15">
        <v>0.15909090909090901</v>
      </c>
      <c r="V15" s="1" t="s">
        <v>190</v>
      </c>
      <c r="W15" s="1" t="s">
        <v>191</v>
      </c>
      <c r="X15">
        <v>0.64978902953586504</v>
      </c>
      <c r="Y15" s="6" t="s">
        <v>192</v>
      </c>
      <c r="Z15">
        <v>0.57225806451612904</v>
      </c>
      <c r="AA15" s="1">
        <v>0.45454545454545398</v>
      </c>
      <c r="AB15" s="1">
        <v>0.48050847457627099</v>
      </c>
      <c r="AC15">
        <v>0.875</v>
      </c>
      <c r="AD15">
        <v>0.84</v>
      </c>
      <c r="AE15" s="1">
        <v>0.62433862433862397</v>
      </c>
      <c r="AF15">
        <v>0.65254237288135597</v>
      </c>
      <c r="AG15" s="6" t="s">
        <v>194</v>
      </c>
      <c r="AH15" s="1">
        <v>0.54052407068860397</v>
      </c>
      <c r="AI15">
        <v>2.46305418719211E-2</v>
      </c>
      <c r="AJ15">
        <v>0.341360626128838</v>
      </c>
      <c r="AK15">
        <v>8.7499999999999994E-2</v>
      </c>
      <c r="AL15">
        <v>0.42</v>
      </c>
      <c r="AM15">
        <v>0.48559670781893</v>
      </c>
      <c r="AN15" s="1">
        <v>0.64705882352941102</v>
      </c>
      <c r="AO15">
        <v>4.6698000000000004</v>
      </c>
      <c r="AP15">
        <v>324.85000000000002</v>
      </c>
      <c r="AQ15">
        <v>20.343</v>
      </c>
    </row>
    <row r="16" spans="1:43" x14ac:dyDescent="0.45">
      <c r="A16">
        <v>42</v>
      </c>
      <c r="B16" t="s">
        <v>204</v>
      </c>
      <c r="C16" t="s">
        <v>166</v>
      </c>
      <c r="D16" t="s">
        <v>167</v>
      </c>
      <c r="E16" s="1" t="s">
        <v>84</v>
      </c>
      <c r="F16">
        <v>0.01</v>
      </c>
      <c r="G16">
        <v>16</v>
      </c>
      <c r="H16">
        <v>8</v>
      </c>
      <c r="I16">
        <v>2</v>
      </c>
      <c r="J16">
        <v>400</v>
      </c>
      <c r="K16">
        <v>400</v>
      </c>
      <c r="L16" s="1" t="s">
        <v>205</v>
      </c>
      <c r="M16" t="s">
        <v>625</v>
      </c>
      <c r="N16">
        <v>1984</v>
      </c>
      <c r="O16" t="s">
        <v>46</v>
      </c>
      <c r="P16" s="1" t="s">
        <v>206</v>
      </c>
      <c r="Q16" s="3">
        <v>0.49097162510747999</v>
      </c>
      <c r="R16" s="1" t="s">
        <v>207</v>
      </c>
      <c r="S16" s="1" t="s">
        <v>208</v>
      </c>
      <c r="T16" s="1" t="s">
        <v>209</v>
      </c>
      <c r="U16" s="1" t="s">
        <v>132</v>
      </c>
      <c r="V16" s="1" t="s">
        <v>210</v>
      </c>
      <c r="W16" s="1" t="s">
        <v>211</v>
      </c>
      <c r="X16" s="1" t="s">
        <v>212</v>
      </c>
      <c r="Y16" s="6" t="s">
        <v>213</v>
      </c>
      <c r="Z16">
        <v>0.51264651449722398</v>
      </c>
      <c r="AA16" s="1">
        <v>0.326315789473684</v>
      </c>
      <c r="AB16">
        <v>0.469721767594108</v>
      </c>
      <c r="AC16" s="1">
        <v>0.64705882352941102</v>
      </c>
      <c r="AD16">
        <v>0.74399999999999999</v>
      </c>
      <c r="AE16" s="1">
        <v>0.49242424242424199</v>
      </c>
      <c r="AF16">
        <v>0.52682926829268295</v>
      </c>
      <c r="AG16" s="5">
        <v>0.48104465037910699</v>
      </c>
      <c r="AH16" s="1">
        <v>0.57628294036061001</v>
      </c>
      <c r="AI16" s="1">
        <v>0.116104868913857</v>
      </c>
      <c r="AJ16" s="1">
        <v>0.41959064327485301</v>
      </c>
      <c r="AK16" s="1">
        <v>0.35483870967741898</v>
      </c>
      <c r="AL16" s="1">
        <v>0.84545454545454501</v>
      </c>
      <c r="AM16">
        <v>0.40625</v>
      </c>
      <c r="AN16" s="1">
        <v>0.59016393442622905</v>
      </c>
      <c r="AO16">
        <v>6.1452999999999998</v>
      </c>
      <c r="AP16">
        <v>293.39299999999997</v>
      </c>
      <c r="AQ16">
        <v>18.388000000000002</v>
      </c>
    </row>
    <row r="17" spans="1:43" x14ac:dyDescent="0.45">
      <c r="A17">
        <v>42</v>
      </c>
      <c r="B17" t="s">
        <v>204</v>
      </c>
      <c r="C17" t="s">
        <v>166</v>
      </c>
      <c r="D17" t="s">
        <v>167</v>
      </c>
      <c r="E17" s="1" t="s">
        <v>84</v>
      </c>
      <c r="F17">
        <v>0.01</v>
      </c>
      <c r="G17">
        <v>16</v>
      </c>
      <c r="H17">
        <v>8</v>
      </c>
      <c r="I17">
        <v>2</v>
      </c>
      <c r="J17">
        <v>400</v>
      </c>
      <c r="K17">
        <v>400</v>
      </c>
      <c r="L17" s="1" t="s">
        <v>205</v>
      </c>
      <c r="M17" t="s">
        <v>625</v>
      </c>
      <c r="N17">
        <v>1984</v>
      </c>
      <c r="O17" t="s">
        <v>64</v>
      </c>
      <c r="P17" s="1" t="s">
        <v>223</v>
      </c>
      <c r="Q17" s="3">
        <v>0.53347038417062798</v>
      </c>
      <c r="R17" s="1" t="s">
        <v>224</v>
      </c>
      <c r="S17" s="1" t="s">
        <v>225</v>
      </c>
      <c r="T17" s="1" t="s">
        <v>226</v>
      </c>
      <c r="U17" s="1" t="s">
        <v>227</v>
      </c>
      <c r="V17" s="1" t="s">
        <v>228</v>
      </c>
      <c r="W17">
        <v>0.61111111111111105</v>
      </c>
      <c r="X17" s="1" t="s">
        <v>229</v>
      </c>
      <c r="Y17" s="6" t="s">
        <v>230</v>
      </c>
      <c r="Z17">
        <v>0.6</v>
      </c>
      <c r="AA17" s="1">
        <v>0.43548387096774099</v>
      </c>
      <c r="AB17" s="1">
        <v>0.49710982658959502</v>
      </c>
      <c r="AC17" s="1">
        <v>0.58695652173913004</v>
      </c>
      <c r="AD17">
        <v>0.8125</v>
      </c>
      <c r="AE17" s="1">
        <v>0.69841269841269804</v>
      </c>
      <c r="AF17" s="1">
        <v>0.69512195121951204</v>
      </c>
      <c r="AG17" s="6" t="s">
        <v>231</v>
      </c>
      <c r="AH17" s="1">
        <v>0.58866544789762298</v>
      </c>
      <c r="AI17" s="1">
        <v>0.133004926108374</v>
      </c>
      <c r="AJ17" s="1">
        <v>0.414208308248043</v>
      </c>
      <c r="AK17">
        <v>0.33750000000000002</v>
      </c>
      <c r="AL17">
        <v>0.65</v>
      </c>
      <c r="AM17" s="1">
        <v>0.54320987654320896</v>
      </c>
      <c r="AN17" s="1">
        <v>0.71848739495798297</v>
      </c>
      <c r="AO17">
        <v>4.7355</v>
      </c>
      <c r="AP17">
        <v>320.34699999999998</v>
      </c>
      <c r="AQ17">
        <v>20.061</v>
      </c>
    </row>
    <row r="18" spans="1:43" x14ac:dyDescent="0.45">
      <c r="A18">
        <v>42</v>
      </c>
      <c r="B18" t="s">
        <v>242</v>
      </c>
      <c r="C18" t="s">
        <v>166</v>
      </c>
      <c r="D18" t="s">
        <v>167</v>
      </c>
      <c r="E18" s="1" t="s">
        <v>125</v>
      </c>
      <c r="F18">
        <v>0.01</v>
      </c>
      <c r="G18">
        <v>16</v>
      </c>
      <c r="H18">
        <v>8</v>
      </c>
      <c r="I18">
        <v>2</v>
      </c>
      <c r="J18">
        <v>400</v>
      </c>
      <c r="K18">
        <v>400</v>
      </c>
      <c r="L18" s="1" t="s">
        <v>243</v>
      </c>
      <c r="M18" t="s">
        <v>625</v>
      </c>
      <c r="N18">
        <v>1984</v>
      </c>
      <c r="O18" t="s">
        <v>46</v>
      </c>
      <c r="P18" s="1" t="s">
        <v>244</v>
      </c>
      <c r="Q18" s="3">
        <v>0.50090040171768901</v>
      </c>
      <c r="R18" s="1" t="s">
        <v>245</v>
      </c>
      <c r="S18" s="1" t="s">
        <v>246</v>
      </c>
      <c r="T18" s="1" t="s">
        <v>247</v>
      </c>
      <c r="U18" s="1" t="s">
        <v>248</v>
      </c>
      <c r="V18" s="1" t="s">
        <v>249</v>
      </c>
      <c r="W18" s="1" t="s">
        <v>250</v>
      </c>
      <c r="X18" s="1" t="s">
        <v>251</v>
      </c>
      <c r="Y18" s="6" t="s">
        <v>252</v>
      </c>
      <c r="Z18" s="1">
        <v>0.52509179926560501</v>
      </c>
      <c r="AA18" s="1">
        <v>0.341269841269841</v>
      </c>
      <c r="AB18" s="1">
        <v>0.439971751412429</v>
      </c>
      <c r="AC18" s="1">
        <v>0.66666666666666596</v>
      </c>
      <c r="AD18" s="1">
        <v>0.70866141732283405</v>
      </c>
      <c r="AE18" s="1">
        <v>0.50714285714285701</v>
      </c>
      <c r="AF18">
        <v>0.56499999999999995</v>
      </c>
      <c r="AG18" s="5">
        <v>0.50772254984554899</v>
      </c>
      <c r="AH18">
        <v>0.59500693481276001</v>
      </c>
      <c r="AI18" s="1">
        <v>0.16104868913857601</v>
      </c>
      <c r="AJ18" s="1">
        <v>0.45540935672514599</v>
      </c>
      <c r="AK18" s="1">
        <v>0.32258064516128998</v>
      </c>
      <c r="AL18" s="1">
        <v>0.81818181818181801</v>
      </c>
      <c r="AM18">
        <v>0.44374999999999998</v>
      </c>
      <c r="AN18" s="1">
        <v>0.61748633879781401</v>
      </c>
      <c r="AO18">
        <v>6.0194999999999999</v>
      </c>
      <c r="AP18">
        <v>299.52699999999999</v>
      </c>
      <c r="AQ18">
        <v>18.771999999999998</v>
      </c>
    </row>
    <row r="19" spans="1:43" x14ac:dyDescent="0.45">
      <c r="A19">
        <v>42</v>
      </c>
      <c r="B19" t="s">
        <v>242</v>
      </c>
      <c r="C19" t="s">
        <v>166</v>
      </c>
      <c r="D19" t="s">
        <v>167</v>
      </c>
      <c r="E19" s="1" t="s">
        <v>125</v>
      </c>
      <c r="F19">
        <v>0.01</v>
      </c>
      <c r="G19">
        <v>16</v>
      </c>
      <c r="H19">
        <v>8</v>
      </c>
      <c r="I19">
        <v>2</v>
      </c>
      <c r="J19">
        <v>400</v>
      </c>
      <c r="K19">
        <v>400</v>
      </c>
      <c r="L19" s="1" t="s">
        <v>243</v>
      </c>
      <c r="M19" t="s">
        <v>625</v>
      </c>
      <c r="N19">
        <v>1984</v>
      </c>
      <c r="O19" t="s">
        <v>64</v>
      </c>
      <c r="P19" s="1" t="s">
        <v>264</v>
      </c>
      <c r="Q19" s="3">
        <v>0.54774820234641097</v>
      </c>
      <c r="R19" s="1" t="s">
        <v>265</v>
      </c>
      <c r="S19" s="1" t="s">
        <v>266</v>
      </c>
      <c r="T19" s="1" t="s">
        <v>267</v>
      </c>
      <c r="U19" s="1" t="s">
        <v>268</v>
      </c>
      <c r="V19" s="1" t="s">
        <v>269</v>
      </c>
      <c r="W19" s="1" t="s">
        <v>270</v>
      </c>
      <c r="X19" s="1" t="s">
        <v>271</v>
      </c>
      <c r="Y19" s="6" t="s">
        <v>272</v>
      </c>
      <c r="Z19" s="1">
        <v>0.612052730696798</v>
      </c>
      <c r="AA19" s="1">
        <v>0.41935483870967699</v>
      </c>
      <c r="AB19" s="1">
        <v>0.50134048257372599</v>
      </c>
      <c r="AC19" s="1">
        <v>0.62264150943396201</v>
      </c>
      <c r="AD19" s="1">
        <v>0.76404494382022403</v>
      </c>
      <c r="AE19" s="1">
        <v>0.67525773195876204</v>
      </c>
      <c r="AF19" s="1">
        <v>0.71659919028340002</v>
      </c>
      <c r="AG19" s="6" t="s">
        <v>273</v>
      </c>
      <c r="AH19" s="1">
        <v>0.59414990859232097</v>
      </c>
      <c r="AI19" s="1">
        <v>0.19211822660098499</v>
      </c>
      <c r="AJ19" s="1">
        <v>0.45033112582781398</v>
      </c>
      <c r="AK19">
        <v>0.41249999999999998</v>
      </c>
      <c r="AL19">
        <v>0.68</v>
      </c>
      <c r="AM19" s="1">
        <v>0.53909465020576097</v>
      </c>
      <c r="AN19" s="1">
        <v>0.74369747899159599</v>
      </c>
      <c r="AO19">
        <v>4.7343999999999999</v>
      </c>
      <c r="AP19">
        <v>320.42200000000003</v>
      </c>
      <c r="AQ19">
        <v>20.065999999999999</v>
      </c>
    </row>
    <row r="20" spans="1:43" x14ac:dyDescent="0.45">
      <c r="A20">
        <v>43</v>
      </c>
      <c r="B20" t="s">
        <v>176</v>
      </c>
      <c r="C20" t="s">
        <v>166</v>
      </c>
      <c r="D20" t="s">
        <v>167</v>
      </c>
      <c r="E20" s="1" t="s">
        <v>45</v>
      </c>
      <c r="F20">
        <v>0.01</v>
      </c>
      <c r="G20">
        <v>16</v>
      </c>
      <c r="H20">
        <v>8</v>
      </c>
      <c r="I20">
        <v>2</v>
      </c>
      <c r="J20">
        <v>400</v>
      </c>
      <c r="K20">
        <v>400</v>
      </c>
      <c r="L20" s="1" t="s">
        <v>177</v>
      </c>
      <c r="M20" t="s">
        <v>626</v>
      </c>
      <c r="N20">
        <v>1984</v>
      </c>
      <c r="O20" t="s">
        <v>46</v>
      </c>
      <c r="P20" s="1" t="s">
        <v>178</v>
      </c>
      <c r="Q20" s="3">
        <v>0.43894080996884699</v>
      </c>
      <c r="R20" s="1" t="s">
        <v>179</v>
      </c>
      <c r="S20">
        <v>4.1666666666666602E-2</v>
      </c>
      <c r="T20" s="1" t="s">
        <v>180</v>
      </c>
      <c r="U20" s="1" t="s">
        <v>181</v>
      </c>
      <c r="V20" s="1" t="s">
        <v>182</v>
      </c>
      <c r="W20" s="1" t="s">
        <v>183</v>
      </c>
      <c r="X20" s="1" t="s">
        <v>184</v>
      </c>
      <c r="Y20" s="6" t="s">
        <v>185</v>
      </c>
      <c r="Z20" s="1">
        <v>0.51034482758620603</v>
      </c>
      <c r="AA20" s="1">
        <v>0.28571428571428498</v>
      </c>
      <c r="AB20" s="1">
        <v>0.42527582748244702</v>
      </c>
      <c r="AC20" s="1">
        <v>0.57142857142857095</v>
      </c>
      <c r="AD20" s="1">
        <v>0.78301886792452802</v>
      </c>
      <c r="AE20" s="1">
        <v>0.495145631067961</v>
      </c>
      <c r="AF20" s="1">
        <v>0.57714285714285696</v>
      </c>
      <c r="AG20" s="6" t="s">
        <v>187</v>
      </c>
      <c r="AH20" s="1">
        <v>0.51317614424410496</v>
      </c>
      <c r="AI20">
        <v>2.2471910112359501E-2</v>
      </c>
      <c r="AJ20" s="1">
        <v>0.30994152046783602</v>
      </c>
      <c r="AK20" s="1">
        <v>0.12903225806451599</v>
      </c>
      <c r="AL20" s="1">
        <v>0.75454545454545396</v>
      </c>
      <c r="AM20">
        <v>0.31874999999999998</v>
      </c>
      <c r="AN20" s="1">
        <v>0.55191256830600999</v>
      </c>
      <c r="AO20">
        <v>6.0368000000000004</v>
      </c>
      <c r="AP20">
        <v>298.666</v>
      </c>
      <c r="AQ20">
        <v>18.718</v>
      </c>
    </row>
    <row r="21" spans="1:43" x14ac:dyDescent="0.45">
      <c r="A21">
        <v>43</v>
      </c>
      <c r="B21" t="s">
        <v>176</v>
      </c>
      <c r="C21" t="s">
        <v>166</v>
      </c>
      <c r="D21" t="s">
        <v>167</v>
      </c>
      <c r="E21" s="1" t="s">
        <v>45</v>
      </c>
      <c r="F21">
        <v>0.01</v>
      </c>
      <c r="G21">
        <v>16</v>
      </c>
      <c r="H21">
        <v>8</v>
      </c>
      <c r="I21">
        <v>2</v>
      </c>
      <c r="J21">
        <v>400</v>
      </c>
      <c r="K21">
        <v>400</v>
      </c>
      <c r="L21" s="1" t="s">
        <v>177</v>
      </c>
      <c r="M21" t="s">
        <v>626</v>
      </c>
      <c r="N21">
        <v>1984</v>
      </c>
      <c r="O21" t="s">
        <v>64</v>
      </c>
      <c r="P21" s="1" t="s">
        <v>195</v>
      </c>
      <c r="Q21" s="3">
        <v>0.48444139821795701</v>
      </c>
      <c r="R21" s="1" t="s">
        <v>196</v>
      </c>
      <c r="S21">
        <v>8.2568807339449504E-2</v>
      </c>
      <c r="T21" s="1" t="s">
        <v>197</v>
      </c>
      <c r="U21" s="1" t="s">
        <v>198</v>
      </c>
      <c r="V21" s="1" t="s">
        <v>199</v>
      </c>
      <c r="W21" s="1" t="s">
        <v>200</v>
      </c>
      <c r="X21" s="1" t="s">
        <v>201</v>
      </c>
      <c r="Y21" s="6" t="s">
        <v>202</v>
      </c>
      <c r="Z21" s="1">
        <v>0.59271978021978</v>
      </c>
      <c r="AA21">
        <v>0.6</v>
      </c>
      <c r="AB21" s="1">
        <v>0.471476510067114</v>
      </c>
      <c r="AC21" s="1">
        <v>0.69230769230769196</v>
      </c>
      <c r="AD21" s="1">
        <v>0.83870967741935398</v>
      </c>
      <c r="AE21" s="1">
        <v>0.68072289156626498</v>
      </c>
      <c r="AF21" s="1">
        <v>0.706666666666666</v>
      </c>
      <c r="AG21" s="6" t="s">
        <v>203</v>
      </c>
      <c r="AH21" s="1">
        <v>0.52589884216940797</v>
      </c>
      <c r="AI21">
        <v>4.4334975369458102E-2</v>
      </c>
      <c r="AJ21" s="1">
        <v>0.33835039133052303</v>
      </c>
      <c r="AK21">
        <v>0.1125</v>
      </c>
      <c r="AL21">
        <v>0.52</v>
      </c>
      <c r="AM21" s="1">
        <v>0.46502057613168701</v>
      </c>
      <c r="AN21" s="1">
        <v>0.66806722689075604</v>
      </c>
      <c r="AO21">
        <v>4.8621999999999996</v>
      </c>
      <c r="AP21">
        <v>311.99900000000002</v>
      </c>
      <c r="AQ21">
        <v>19.538</v>
      </c>
    </row>
    <row r="22" spans="1:43" x14ac:dyDescent="0.45">
      <c r="A22">
        <v>43</v>
      </c>
      <c r="B22" t="s">
        <v>214</v>
      </c>
      <c r="C22" t="s">
        <v>166</v>
      </c>
      <c r="D22" t="s">
        <v>167</v>
      </c>
      <c r="E22" s="1" t="s">
        <v>84</v>
      </c>
      <c r="F22">
        <v>0.01</v>
      </c>
      <c r="G22">
        <v>16</v>
      </c>
      <c r="H22">
        <v>8</v>
      </c>
      <c r="I22">
        <v>2</v>
      </c>
      <c r="J22">
        <v>400</v>
      </c>
      <c r="K22">
        <v>400</v>
      </c>
      <c r="L22" s="1" t="s">
        <v>215</v>
      </c>
      <c r="M22" t="s">
        <v>626</v>
      </c>
      <c r="N22">
        <v>1984</v>
      </c>
      <c r="O22" t="s">
        <v>46</v>
      </c>
      <c r="P22" s="1" t="s">
        <v>216</v>
      </c>
      <c r="Q22" s="3">
        <v>0.48371146015124999</v>
      </c>
      <c r="R22" s="1" t="s">
        <v>217</v>
      </c>
      <c r="S22" s="1" t="s">
        <v>218</v>
      </c>
      <c r="T22" s="1" t="s">
        <v>219</v>
      </c>
      <c r="U22" s="1" t="s">
        <v>220</v>
      </c>
      <c r="V22" s="1" t="s">
        <v>221</v>
      </c>
      <c r="W22" s="1" t="s">
        <v>222</v>
      </c>
      <c r="X22">
        <v>0.579088471849866</v>
      </c>
      <c r="Y22" s="5">
        <v>0.50165912518853695</v>
      </c>
      <c r="Z22" s="1">
        <v>0.54220121539500299</v>
      </c>
      <c r="AA22" s="1">
        <v>0.31578947368421001</v>
      </c>
      <c r="AB22" s="1">
        <v>0.437106918238993</v>
      </c>
      <c r="AC22" s="1">
        <v>0.476190476190476</v>
      </c>
      <c r="AD22" s="1">
        <v>0.73983739837398299</v>
      </c>
      <c r="AE22" s="1">
        <v>0.51754385964912197</v>
      </c>
      <c r="AF22" s="1">
        <v>0.56842105263157805</v>
      </c>
      <c r="AG22" s="5">
        <v>0.46700365065992699</v>
      </c>
      <c r="AH22" s="1">
        <v>0.55686546463245401</v>
      </c>
      <c r="AI22" s="1">
        <v>0.13483146067415699</v>
      </c>
      <c r="AJ22" s="1">
        <v>0.40643274853801098</v>
      </c>
      <c r="AK22" s="1">
        <v>0.32258064516128998</v>
      </c>
      <c r="AL22" s="1">
        <v>0.82727272727272705</v>
      </c>
      <c r="AM22">
        <v>0.36875000000000002</v>
      </c>
      <c r="AN22" s="1">
        <v>0.59016393442622905</v>
      </c>
      <c r="AO22">
        <v>6.2961999999999998</v>
      </c>
      <c r="AP22">
        <v>286.36399999999998</v>
      </c>
      <c r="AQ22">
        <v>17.946999999999999</v>
      </c>
    </row>
    <row r="23" spans="1:43" x14ac:dyDescent="0.45">
      <c r="A23">
        <v>43</v>
      </c>
      <c r="B23" t="s">
        <v>214</v>
      </c>
      <c r="C23" t="s">
        <v>166</v>
      </c>
      <c r="D23" t="s">
        <v>167</v>
      </c>
      <c r="E23" s="1" t="s">
        <v>84</v>
      </c>
      <c r="F23">
        <v>0.01</v>
      </c>
      <c r="G23">
        <v>16</v>
      </c>
      <c r="H23">
        <v>8</v>
      </c>
      <c r="I23">
        <v>2</v>
      </c>
      <c r="J23">
        <v>400</v>
      </c>
      <c r="K23">
        <v>400</v>
      </c>
      <c r="L23" s="1" t="s">
        <v>215</v>
      </c>
      <c r="M23" t="s">
        <v>626</v>
      </c>
      <c r="N23">
        <v>1984</v>
      </c>
      <c r="O23" t="s">
        <v>64</v>
      </c>
      <c r="P23" s="1" t="s">
        <v>232</v>
      </c>
      <c r="Q23" s="3">
        <v>0.53053830227743204</v>
      </c>
      <c r="R23" s="1" t="s">
        <v>233</v>
      </c>
      <c r="S23" s="1" t="s">
        <v>234</v>
      </c>
      <c r="T23" s="1" t="s">
        <v>235</v>
      </c>
      <c r="U23" s="1" t="s">
        <v>236</v>
      </c>
      <c r="V23" s="1" t="s">
        <v>237</v>
      </c>
      <c r="W23" s="1" t="s">
        <v>238</v>
      </c>
      <c r="X23" s="1" t="s">
        <v>239</v>
      </c>
      <c r="Y23" s="6" t="s">
        <v>240</v>
      </c>
      <c r="Z23" s="1">
        <v>0.61744966442952998</v>
      </c>
      <c r="AA23" s="1">
        <v>0.407407407407407</v>
      </c>
      <c r="AB23">
        <v>0.484593837535014</v>
      </c>
      <c r="AC23" s="1">
        <v>0.592592592592592</v>
      </c>
      <c r="AD23" s="1">
        <v>0.79310344827586199</v>
      </c>
      <c r="AE23" s="1">
        <v>0.68681318681318604</v>
      </c>
      <c r="AF23" s="1">
        <v>0.74583333333333302</v>
      </c>
      <c r="AG23" s="6" t="s">
        <v>241</v>
      </c>
      <c r="AH23" s="1">
        <v>0.56063375990249797</v>
      </c>
      <c r="AI23" s="1">
        <v>0.16256157635467899</v>
      </c>
      <c r="AJ23" s="1">
        <v>0.41661649608669399</v>
      </c>
      <c r="AK23">
        <v>0.4</v>
      </c>
      <c r="AL23">
        <v>0.69</v>
      </c>
      <c r="AM23">
        <v>0.51440329218106995</v>
      </c>
      <c r="AN23" s="1">
        <v>0.752100840336134</v>
      </c>
      <c r="AO23">
        <v>4.7854999999999999</v>
      </c>
      <c r="AP23">
        <v>317.00099999999998</v>
      </c>
      <c r="AQ23">
        <v>19.852</v>
      </c>
    </row>
    <row r="24" spans="1:43" x14ac:dyDescent="0.45">
      <c r="A24">
        <v>43</v>
      </c>
      <c r="B24" t="s">
        <v>253</v>
      </c>
      <c r="C24" t="s">
        <v>166</v>
      </c>
      <c r="D24" t="s">
        <v>167</v>
      </c>
      <c r="E24" s="1" t="s">
        <v>125</v>
      </c>
      <c r="F24">
        <v>0.01</v>
      </c>
      <c r="G24">
        <v>16</v>
      </c>
      <c r="H24">
        <v>8</v>
      </c>
      <c r="I24">
        <v>2</v>
      </c>
      <c r="J24">
        <v>400</v>
      </c>
      <c r="K24">
        <v>400</v>
      </c>
      <c r="L24" s="1" t="s">
        <v>254</v>
      </c>
      <c r="M24" t="s">
        <v>626</v>
      </c>
      <c r="N24">
        <v>1984</v>
      </c>
      <c r="O24" t="s">
        <v>46</v>
      </c>
      <c r="P24" s="1" t="s">
        <v>255</v>
      </c>
      <c r="Q24" s="3">
        <v>0.49756516757376101</v>
      </c>
      <c r="R24" s="1" t="s">
        <v>256</v>
      </c>
      <c r="S24" s="1" t="s">
        <v>257</v>
      </c>
      <c r="T24" s="1" t="s">
        <v>258</v>
      </c>
      <c r="U24" s="1" t="s">
        <v>259</v>
      </c>
      <c r="V24" s="1" t="s">
        <v>260</v>
      </c>
      <c r="W24" s="1" t="s">
        <v>261</v>
      </c>
      <c r="X24" s="1" t="s">
        <v>262</v>
      </c>
      <c r="Y24" s="5">
        <v>0.50774627301958497</v>
      </c>
      <c r="Z24" s="1">
        <v>0.56616643929058597</v>
      </c>
      <c r="AA24" s="1">
        <v>0.32413793103448202</v>
      </c>
      <c r="AB24" s="1">
        <v>0.43595505617977498</v>
      </c>
      <c r="AC24" s="1">
        <v>0.407407407407407</v>
      </c>
      <c r="AD24" s="1">
        <v>0.71653543307086598</v>
      </c>
      <c r="AE24" s="1">
        <v>0.52892561983470998</v>
      </c>
      <c r="AF24">
        <v>0.56000000000000005</v>
      </c>
      <c r="AG24" s="6" t="s">
        <v>263</v>
      </c>
      <c r="AH24" s="1">
        <v>0.57558945908460402</v>
      </c>
      <c r="AI24" s="1">
        <v>0.17602996254681599</v>
      </c>
      <c r="AJ24">
        <v>0.425438596491228</v>
      </c>
      <c r="AK24" s="1">
        <v>0.35483870967741898</v>
      </c>
      <c r="AL24" s="1">
        <v>0.82727272727272705</v>
      </c>
      <c r="AM24">
        <v>0.4</v>
      </c>
      <c r="AN24" s="1">
        <v>0.61202185792349695</v>
      </c>
      <c r="AO24">
        <v>5.8281999999999998</v>
      </c>
      <c r="AP24">
        <v>309.35899999999998</v>
      </c>
      <c r="AQ24">
        <v>19.388999999999999</v>
      </c>
    </row>
    <row r="25" spans="1:43" x14ac:dyDescent="0.45">
      <c r="A25">
        <v>43</v>
      </c>
      <c r="B25" t="s">
        <v>253</v>
      </c>
      <c r="C25" t="s">
        <v>166</v>
      </c>
      <c r="D25" t="s">
        <v>167</v>
      </c>
      <c r="E25" s="1" t="s">
        <v>125</v>
      </c>
      <c r="F25">
        <v>0.01</v>
      </c>
      <c r="G25">
        <v>16</v>
      </c>
      <c r="H25">
        <v>8</v>
      </c>
      <c r="I25">
        <v>2</v>
      </c>
      <c r="J25">
        <v>400</v>
      </c>
      <c r="K25">
        <v>400</v>
      </c>
      <c r="L25" s="1" t="s">
        <v>254</v>
      </c>
      <c r="M25" t="s">
        <v>626</v>
      </c>
      <c r="N25">
        <v>1984</v>
      </c>
      <c r="O25" t="s">
        <v>64</v>
      </c>
      <c r="P25" s="1" t="s">
        <v>274</v>
      </c>
      <c r="Q25" s="3">
        <v>0.53911477097272198</v>
      </c>
      <c r="R25" s="1" t="s">
        <v>275</v>
      </c>
      <c r="S25" s="1" t="s">
        <v>276</v>
      </c>
      <c r="T25" s="1" t="s">
        <v>277</v>
      </c>
      <c r="U25" s="1" t="s">
        <v>268</v>
      </c>
      <c r="V25">
        <v>0.71134020618556704</v>
      </c>
      <c r="W25" s="1" t="s">
        <v>278</v>
      </c>
      <c r="X25" s="1" t="s">
        <v>279</v>
      </c>
      <c r="Y25" s="6" t="s">
        <v>280</v>
      </c>
      <c r="Z25" s="1">
        <v>0.63535911602209905</v>
      </c>
      <c r="AA25" s="1">
        <v>0.38144329896907198</v>
      </c>
      <c r="AB25" s="1">
        <v>0.49019607843137197</v>
      </c>
      <c r="AC25" s="1">
        <v>0.62264150943396201</v>
      </c>
      <c r="AD25" s="1">
        <v>0.73404255319148903</v>
      </c>
      <c r="AE25" s="1">
        <v>0.68041237113401998</v>
      </c>
      <c r="AF25" s="1">
        <v>0.74273858921161795</v>
      </c>
      <c r="AG25" s="6" t="s">
        <v>281</v>
      </c>
      <c r="AH25" s="1">
        <v>0.56063375990249797</v>
      </c>
      <c r="AI25" s="1">
        <v>0.182266009852216</v>
      </c>
      <c r="AJ25" s="1">
        <v>0.43648404575556798</v>
      </c>
      <c r="AK25">
        <v>0.41249999999999998</v>
      </c>
      <c r="AL25">
        <v>0.69</v>
      </c>
      <c r="AM25" s="1">
        <v>0.54320987654320896</v>
      </c>
      <c r="AN25" s="1">
        <v>0.752100840336134</v>
      </c>
      <c r="AO25">
        <v>4.8231000000000002</v>
      </c>
      <c r="AP25">
        <v>314.529</v>
      </c>
      <c r="AQ25">
        <v>19.696999999999999</v>
      </c>
    </row>
    <row r="26" spans="1:43" x14ac:dyDescent="0.45">
      <c r="A26">
        <v>42</v>
      </c>
      <c r="B26" t="s">
        <v>282</v>
      </c>
      <c r="C26" t="s">
        <v>283</v>
      </c>
      <c r="D26" t="s">
        <v>284</v>
      </c>
      <c r="E26" s="1" t="s">
        <v>45</v>
      </c>
      <c r="F26">
        <v>0.01</v>
      </c>
      <c r="G26">
        <v>16</v>
      </c>
      <c r="H26">
        <v>8</v>
      </c>
      <c r="I26">
        <v>2</v>
      </c>
      <c r="J26">
        <v>400</v>
      </c>
      <c r="K26">
        <v>400</v>
      </c>
      <c r="L26" s="1" t="s">
        <v>285</v>
      </c>
      <c r="M26" t="s">
        <v>625</v>
      </c>
      <c r="N26">
        <v>1992</v>
      </c>
      <c r="O26" t="s">
        <v>46</v>
      </c>
      <c r="P26" s="1" t="s">
        <v>286</v>
      </c>
      <c r="Q26" s="3">
        <v>0.437253114554846</v>
      </c>
      <c r="R26" s="1" t="s">
        <v>287</v>
      </c>
      <c r="S26">
        <v>7.9470198675496595E-2</v>
      </c>
      <c r="T26" s="1" t="s">
        <v>288</v>
      </c>
      <c r="U26" s="1" t="s">
        <v>289</v>
      </c>
      <c r="V26" s="1" t="s">
        <v>290</v>
      </c>
      <c r="W26" s="1" t="s">
        <v>291</v>
      </c>
      <c r="X26" s="1" t="s">
        <v>292</v>
      </c>
      <c r="Y26" s="6" t="s">
        <v>293</v>
      </c>
      <c r="Z26" s="1">
        <v>0.49326491340602902</v>
      </c>
      <c r="AA26" s="1">
        <v>0.38709677419354799</v>
      </c>
      <c r="AB26" s="1">
        <v>0.404738400789733</v>
      </c>
      <c r="AC26">
        <v>0.4</v>
      </c>
      <c r="AD26" s="1">
        <v>0.72268907563025198</v>
      </c>
      <c r="AE26" s="1">
        <v>0.488188976377952</v>
      </c>
      <c r="AF26">
        <v>0.63157894736842102</v>
      </c>
      <c r="AG26" s="6" t="s">
        <v>294</v>
      </c>
      <c r="AH26" s="1">
        <v>0.53181189488243397</v>
      </c>
      <c r="AI26">
        <v>4.4280442804428E-2</v>
      </c>
      <c r="AJ26" s="1">
        <v>0.30036630036630002</v>
      </c>
      <c r="AK26" s="1">
        <v>0.12903225806451599</v>
      </c>
      <c r="AL26" s="1">
        <v>0.77477477477477397</v>
      </c>
      <c r="AM26" s="1">
        <v>0.380368098159509</v>
      </c>
      <c r="AN26" s="1">
        <v>0.52173913043478204</v>
      </c>
      <c r="AO26">
        <v>5.6859999999999999</v>
      </c>
      <c r="AP26">
        <v>318.14999999999998</v>
      </c>
      <c r="AQ26">
        <v>20.048999999999999</v>
      </c>
    </row>
    <row r="27" spans="1:43" x14ac:dyDescent="0.45">
      <c r="A27">
        <v>42</v>
      </c>
      <c r="B27" t="s">
        <v>282</v>
      </c>
      <c r="C27" t="s">
        <v>283</v>
      </c>
      <c r="D27" t="s">
        <v>284</v>
      </c>
      <c r="E27" s="1" t="s">
        <v>45</v>
      </c>
      <c r="F27">
        <v>0.01</v>
      </c>
      <c r="G27">
        <v>16</v>
      </c>
      <c r="H27">
        <v>8</v>
      </c>
      <c r="I27">
        <v>2</v>
      </c>
      <c r="J27">
        <v>400</v>
      </c>
      <c r="K27">
        <v>400</v>
      </c>
      <c r="L27" s="1" t="s">
        <v>285</v>
      </c>
      <c r="M27" t="s">
        <v>625</v>
      </c>
      <c r="N27">
        <v>1992</v>
      </c>
      <c r="O27" t="s">
        <v>64</v>
      </c>
      <c r="P27" s="1" t="s">
        <v>305</v>
      </c>
      <c r="Q27" s="3">
        <v>0.48634766153014303</v>
      </c>
      <c r="R27" s="1" t="s">
        <v>306</v>
      </c>
      <c r="S27">
        <v>9.8214285714285698E-2</v>
      </c>
      <c r="T27" s="1" t="s">
        <v>307</v>
      </c>
      <c r="U27" s="1" t="s">
        <v>308</v>
      </c>
      <c r="V27" s="1" t="s">
        <v>309</v>
      </c>
      <c r="W27" s="1" t="s">
        <v>94</v>
      </c>
      <c r="X27" s="1" t="s">
        <v>54</v>
      </c>
      <c r="Y27" s="6" t="s">
        <v>310</v>
      </c>
      <c r="Z27" s="1">
        <v>0.57901554404144995</v>
      </c>
      <c r="AA27" s="1">
        <v>0.52380952380952295</v>
      </c>
      <c r="AB27">
        <v>0.47</v>
      </c>
      <c r="AC27" s="1">
        <v>0.91666666666666596</v>
      </c>
      <c r="AD27">
        <v>0.82191780821917804</v>
      </c>
      <c r="AE27" s="1">
        <v>0.61714285714285699</v>
      </c>
      <c r="AF27">
        <v>0.69585253456221197</v>
      </c>
      <c r="AG27" s="6" t="s">
        <v>311</v>
      </c>
      <c r="AH27" s="1">
        <v>0.54612095296273599</v>
      </c>
      <c r="AI27">
        <v>5.4187192118226597E-2</v>
      </c>
      <c r="AJ27" s="1">
        <v>0.33935018050541499</v>
      </c>
      <c r="AK27" s="1">
        <v>0.139240506329113</v>
      </c>
      <c r="AL27">
        <v>0.6</v>
      </c>
      <c r="AM27" s="1">
        <v>0.45188284518828398</v>
      </c>
      <c r="AN27" s="1">
        <v>0.63983050847457601</v>
      </c>
      <c r="AO27">
        <v>4.7164000000000001</v>
      </c>
      <c r="AP27">
        <v>322.07</v>
      </c>
      <c r="AQ27">
        <v>20.143000000000001</v>
      </c>
    </row>
    <row r="28" spans="1:43" x14ac:dyDescent="0.45">
      <c r="A28">
        <v>42</v>
      </c>
      <c r="B28" t="s">
        <v>321</v>
      </c>
      <c r="C28" t="s">
        <v>283</v>
      </c>
      <c r="D28" t="s">
        <v>284</v>
      </c>
      <c r="E28" s="1" t="s">
        <v>84</v>
      </c>
      <c r="F28">
        <v>0.01</v>
      </c>
      <c r="G28">
        <v>16</v>
      </c>
      <c r="H28">
        <v>8</v>
      </c>
      <c r="I28">
        <v>2</v>
      </c>
      <c r="J28">
        <v>400</v>
      </c>
      <c r="K28">
        <v>400</v>
      </c>
      <c r="L28" s="1" t="s">
        <v>322</v>
      </c>
      <c r="M28" t="s">
        <v>625</v>
      </c>
      <c r="N28">
        <v>1992</v>
      </c>
      <c r="O28" t="s">
        <v>46</v>
      </c>
      <c r="P28" s="1" t="s">
        <v>323</v>
      </c>
      <c r="Q28" s="3">
        <v>0.47085002225189099</v>
      </c>
      <c r="R28" s="1" t="s">
        <v>324</v>
      </c>
      <c r="S28" s="1" t="s">
        <v>325</v>
      </c>
      <c r="T28">
        <v>0.39360000000000001</v>
      </c>
      <c r="U28" s="1" t="s">
        <v>101</v>
      </c>
      <c r="V28" s="1" t="s">
        <v>326</v>
      </c>
      <c r="W28" s="1" t="s">
        <v>327</v>
      </c>
      <c r="X28">
        <v>0.58689458689458696</v>
      </c>
      <c r="Y28" s="6" t="s">
        <v>328</v>
      </c>
      <c r="Z28" s="1">
        <v>0.52845528455284496</v>
      </c>
      <c r="AA28">
        <v>0.4</v>
      </c>
      <c r="AB28" s="1">
        <v>0.43348017621145302</v>
      </c>
      <c r="AC28" s="1">
        <v>0.44444444444444398</v>
      </c>
      <c r="AD28" s="1">
        <v>0.723577235772357</v>
      </c>
      <c r="AE28" s="1">
        <v>0.511811023622047</v>
      </c>
      <c r="AF28" s="1">
        <v>0.61676646706586802</v>
      </c>
      <c r="AG28" s="6" t="s">
        <v>330</v>
      </c>
      <c r="AH28" s="1">
        <v>0.53941908713692899</v>
      </c>
      <c r="AI28" s="1">
        <v>0.16974169741697401</v>
      </c>
      <c r="AJ28" s="1">
        <v>0.36043956043955999</v>
      </c>
      <c r="AK28" s="1">
        <v>0.38709677419354799</v>
      </c>
      <c r="AL28" s="1">
        <v>0.80180180180180105</v>
      </c>
      <c r="AM28" s="1">
        <v>0.39877300613496902</v>
      </c>
      <c r="AN28" s="1">
        <v>0.559782608695652</v>
      </c>
      <c r="AO28">
        <v>6.3254000000000001</v>
      </c>
      <c r="AP28">
        <v>285.99099999999999</v>
      </c>
      <c r="AQ28">
        <v>18.023</v>
      </c>
    </row>
    <row r="29" spans="1:43" x14ac:dyDescent="0.45">
      <c r="A29">
        <v>42</v>
      </c>
      <c r="B29" t="s">
        <v>321</v>
      </c>
      <c r="C29" t="s">
        <v>283</v>
      </c>
      <c r="D29" t="s">
        <v>284</v>
      </c>
      <c r="E29" s="1" t="s">
        <v>84</v>
      </c>
      <c r="F29">
        <v>0.01</v>
      </c>
      <c r="G29">
        <v>16</v>
      </c>
      <c r="H29">
        <v>8</v>
      </c>
      <c r="I29">
        <v>2</v>
      </c>
      <c r="J29">
        <v>400</v>
      </c>
      <c r="K29">
        <v>400</v>
      </c>
      <c r="L29" s="1" t="s">
        <v>322</v>
      </c>
      <c r="M29" t="s">
        <v>625</v>
      </c>
      <c r="N29">
        <v>1992</v>
      </c>
      <c r="O29" t="s">
        <v>64</v>
      </c>
      <c r="P29">
        <v>0.71154838800430298</v>
      </c>
      <c r="Q29" s="3">
        <v>0.51706932773109204</v>
      </c>
      <c r="R29">
        <v>0.58290816326530603</v>
      </c>
      <c r="S29">
        <v>0.30240549828178698</v>
      </c>
      <c r="T29">
        <v>0.420033388981636</v>
      </c>
      <c r="U29" s="1" t="s">
        <v>342</v>
      </c>
      <c r="V29" s="1" t="s">
        <v>343</v>
      </c>
      <c r="W29" s="1" t="s">
        <v>344</v>
      </c>
      <c r="X29" s="1" t="s">
        <v>345</v>
      </c>
      <c r="Y29" s="6" t="s">
        <v>346</v>
      </c>
      <c r="Z29">
        <v>0.60973982655103398</v>
      </c>
      <c r="AA29">
        <v>0.5</v>
      </c>
      <c r="AB29" s="1">
        <v>0.47186796699174699</v>
      </c>
      <c r="AC29" s="1">
        <v>0.62962962962962898</v>
      </c>
      <c r="AD29" s="1">
        <v>0.835443037974683</v>
      </c>
      <c r="AE29" s="1">
        <v>0.649214659685863</v>
      </c>
      <c r="AF29" s="1">
        <v>0.73148148148148096</v>
      </c>
      <c r="AG29" s="6" t="s">
        <v>347</v>
      </c>
      <c r="AH29" s="1">
        <v>0.558338423946243</v>
      </c>
      <c r="AI29" s="1">
        <v>0.216748768472906</v>
      </c>
      <c r="AJ29">
        <v>0.37845968712394701</v>
      </c>
      <c r="AK29">
        <v>0.430379746835443</v>
      </c>
      <c r="AL29">
        <v>0.66</v>
      </c>
      <c r="AM29" s="1">
        <v>0.51882845188284499</v>
      </c>
      <c r="AN29" s="1">
        <v>0.66949152542372803</v>
      </c>
      <c r="AO29">
        <v>4.8624999999999998</v>
      </c>
      <c r="AP29">
        <v>312.39</v>
      </c>
      <c r="AQ29">
        <v>19.536999999999999</v>
      </c>
    </row>
    <row r="30" spans="1:43" x14ac:dyDescent="0.45">
      <c r="A30">
        <v>42</v>
      </c>
      <c r="B30" t="s">
        <v>357</v>
      </c>
      <c r="C30" t="s">
        <v>283</v>
      </c>
      <c r="D30" t="s">
        <v>284</v>
      </c>
      <c r="E30" s="1" t="s">
        <v>125</v>
      </c>
      <c r="F30">
        <v>0.01</v>
      </c>
      <c r="G30">
        <v>16</v>
      </c>
      <c r="H30">
        <v>8</v>
      </c>
      <c r="I30">
        <v>2</v>
      </c>
      <c r="J30">
        <v>400</v>
      </c>
      <c r="K30">
        <v>400</v>
      </c>
      <c r="L30" s="1" t="s">
        <v>358</v>
      </c>
      <c r="M30" t="s">
        <v>628</v>
      </c>
      <c r="N30">
        <v>1992</v>
      </c>
      <c r="O30" t="s">
        <v>46</v>
      </c>
      <c r="P30" s="1" t="s">
        <v>359</v>
      </c>
      <c r="Q30" s="3">
        <v>0.47925435959110002</v>
      </c>
      <c r="R30" s="1" t="s">
        <v>360</v>
      </c>
      <c r="S30" s="1" t="s">
        <v>361</v>
      </c>
      <c r="T30" s="1" t="s">
        <v>362</v>
      </c>
      <c r="U30" s="1" t="s">
        <v>340</v>
      </c>
      <c r="V30" s="1" t="s">
        <v>363</v>
      </c>
      <c r="W30" s="1" t="s">
        <v>364</v>
      </c>
      <c r="X30" s="1" t="s">
        <v>365</v>
      </c>
      <c r="Y30" s="6" t="s">
        <v>366</v>
      </c>
      <c r="Z30" s="1">
        <v>0.55036496350364905</v>
      </c>
      <c r="AA30" s="1">
        <v>0.42361111111111099</v>
      </c>
      <c r="AB30" s="1">
        <v>0.45066666666666599</v>
      </c>
      <c r="AC30">
        <v>0.48</v>
      </c>
      <c r="AD30" s="1">
        <v>0.71544715447154394</v>
      </c>
      <c r="AE30" s="1">
        <v>0.52713178294573604</v>
      </c>
      <c r="AF30" s="1">
        <v>0.63030303030303003</v>
      </c>
      <c r="AG30" s="6" t="s">
        <v>367</v>
      </c>
      <c r="AH30" s="1">
        <v>0.52143845089903096</v>
      </c>
      <c r="AI30" s="1">
        <v>0.22509225092250901</v>
      </c>
      <c r="AJ30" s="1">
        <v>0.371428571428571</v>
      </c>
      <c r="AK30" s="1">
        <v>0.38709677419354799</v>
      </c>
      <c r="AL30" s="1">
        <v>0.79279279279279202</v>
      </c>
      <c r="AM30" s="1">
        <v>0.41717791411042898</v>
      </c>
      <c r="AN30" s="1">
        <v>0.56521739130434701</v>
      </c>
      <c r="AO30">
        <v>5.9088000000000003</v>
      </c>
      <c r="AP30">
        <v>306.15100000000001</v>
      </c>
      <c r="AQ30">
        <v>19.292999999999999</v>
      </c>
    </row>
    <row r="31" spans="1:43" x14ac:dyDescent="0.45">
      <c r="A31">
        <v>42</v>
      </c>
      <c r="B31" t="s">
        <v>357</v>
      </c>
      <c r="C31" t="s">
        <v>283</v>
      </c>
      <c r="D31" t="s">
        <v>284</v>
      </c>
      <c r="E31" s="1" t="s">
        <v>125</v>
      </c>
      <c r="F31">
        <v>0.01</v>
      </c>
      <c r="G31">
        <v>16</v>
      </c>
      <c r="H31">
        <v>8</v>
      </c>
      <c r="I31">
        <v>2</v>
      </c>
      <c r="J31">
        <v>400</v>
      </c>
      <c r="K31">
        <v>400</v>
      </c>
      <c r="L31" s="1" t="s">
        <v>358</v>
      </c>
      <c r="M31" t="s">
        <v>628</v>
      </c>
      <c r="N31">
        <v>1992</v>
      </c>
      <c r="O31" t="s">
        <v>64</v>
      </c>
      <c r="P31" s="1" t="s">
        <v>378</v>
      </c>
      <c r="Q31" s="3">
        <v>0.52455121436114005</v>
      </c>
      <c r="R31" s="1" t="s">
        <v>379</v>
      </c>
      <c r="S31" s="1" t="s">
        <v>380</v>
      </c>
      <c r="T31" s="1" t="s">
        <v>381</v>
      </c>
      <c r="U31" s="1" t="s">
        <v>382</v>
      </c>
      <c r="V31" s="1" t="s">
        <v>383</v>
      </c>
      <c r="W31" s="1" t="s">
        <v>384</v>
      </c>
      <c r="X31" s="1" t="s">
        <v>385</v>
      </c>
      <c r="Y31" s="6" t="s">
        <v>386</v>
      </c>
      <c r="Z31" s="1">
        <v>0.62368605466012605</v>
      </c>
      <c r="AA31">
        <v>0.5</v>
      </c>
      <c r="AB31" s="1">
        <v>0.48885586924219898</v>
      </c>
      <c r="AC31" s="1">
        <v>0.63636363636363602</v>
      </c>
      <c r="AD31" s="1">
        <v>0.81707317073170704</v>
      </c>
      <c r="AE31" s="1">
        <v>0.65816326530612201</v>
      </c>
      <c r="AF31" s="1">
        <v>0.74056603773584895</v>
      </c>
      <c r="AG31" s="6" t="s">
        <v>387</v>
      </c>
      <c r="AH31" s="1">
        <v>0.54367745876603502</v>
      </c>
      <c r="AI31" s="1">
        <v>0.25123152709359597</v>
      </c>
      <c r="AJ31" s="1">
        <v>0.39590854392298402</v>
      </c>
      <c r="AK31" s="1">
        <v>0.443037974683544</v>
      </c>
      <c r="AL31">
        <v>0.67</v>
      </c>
      <c r="AM31" s="1">
        <v>0.53974895397489497</v>
      </c>
      <c r="AN31" s="1">
        <v>0.66525423728813504</v>
      </c>
      <c r="AO31">
        <v>4.7923</v>
      </c>
      <c r="AP31">
        <v>316.96699999999998</v>
      </c>
      <c r="AQ31">
        <v>19.823</v>
      </c>
    </row>
    <row r="32" spans="1:43" x14ac:dyDescent="0.45">
      <c r="A32">
        <v>43</v>
      </c>
      <c r="B32" t="s">
        <v>295</v>
      </c>
      <c r="C32" t="s">
        <v>283</v>
      </c>
      <c r="D32" t="s">
        <v>284</v>
      </c>
      <c r="E32" s="1" t="s">
        <v>45</v>
      </c>
      <c r="F32">
        <v>0.01</v>
      </c>
      <c r="G32">
        <v>16</v>
      </c>
      <c r="H32">
        <v>8</v>
      </c>
      <c r="I32">
        <v>2</v>
      </c>
      <c r="J32">
        <v>400</v>
      </c>
      <c r="K32">
        <v>400</v>
      </c>
      <c r="L32" s="1" t="s">
        <v>296</v>
      </c>
      <c r="M32" t="s">
        <v>626</v>
      </c>
      <c r="N32">
        <v>1992</v>
      </c>
      <c r="O32" t="s">
        <v>46</v>
      </c>
      <c r="P32" s="1" t="s">
        <v>297</v>
      </c>
      <c r="Q32" s="3">
        <v>0.44807164524050203</v>
      </c>
      <c r="R32" s="1" t="s">
        <v>298</v>
      </c>
      <c r="S32" s="1" t="s">
        <v>299</v>
      </c>
      <c r="T32" s="1" t="s">
        <v>300</v>
      </c>
      <c r="U32">
        <v>0.3</v>
      </c>
      <c r="V32" s="1" t="s">
        <v>301</v>
      </c>
      <c r="W32" s="1" t="s">
        <v>302</v>
      </c>
      <c r="X32" s="1" t="s">
        <v>303</v>
      </c>
      <c r="Y32" s="5">
        <v>0.46270883054892598</v>
      </c>
      <c r="Z32" s="1">
        <v>0.483542788749251</v>
      </c>
      <c r="AA32" s="1">
        <v>0.44444444444444398</v>
      </c>
      <c r="AB32" s="1">
        <v>0.38349514563106701</v>
      </c>
      <c r="AC32" s="1">
        <v>0.66666666666666596</v>
      </c>
      <c r="AD32">
        <v>0.72</v>
      </c>
      <c r="AE32" s="1">
        <v>0.48245614035087703</v>
      </c>
      <c r="AF32" s="1">
        <v>0.63354037267080698</v>
      </c>
      <c r="AG32" s="6" t="s">
        <v>304</v>
      </c>
      <c r="AH32" s="1">
        <v>0.55878284923928001</v>
      </c>
      <c r="AI32">
        <v>5.9040590405904002E-2</v>
      </c>
      <c r="AJ32" s="1">
        <v>0.34725274725274702</v>
      </c>
      <c r="AK32" s="1">
        <v>0.19354838709677399</v>
      </c>
      <c r="AL32" s="1">
        <v>0.81081081081080997</v>
      </c>
      <c r="AM32" s="1">
        <v>0.33742331288343502</v>
      </c>
      <c r="AN32" s="1">
        <v>0.55434782608695599</v>
      </c>
      <c r="AO32">
        <v>6.0826000000000002</v>
      </c>
      <c r="AP32">
        <v>297.40699999999998</v>
      </c>
      <c r="AQ32">
        <v>18.742000000000001</v>
      </c>
    </row>
    <row r="33" spans="1:43" x14ac:dyDescent="0.45">
      <c r="A33">
        <v>43</v>
      </c>
      <c r="B33" t="s">
        <v>295</v>
      </c>
      <c r="C33" t="s">
        <v>283</v>
      </c>
      <c r="D33" t="s">
        <v>284</v>
      </c>
      <c r="E33" s="1" t="s">
        <v>45</v>
      </c>
      <c r="F33">
        <v>0.01</v>
      </c>
      <c r="G33">
        <v>16</v>
      </c>
      <c r="H33">
        <v>8</v>
      </c>
      <c r="I33">
        <v>2</v>
      </c>
      <c r="J33">
        <v>400</v>
      </c>
      <c r="K33">
        <v>400</v>
      </c>
      <c r="L33" s="1" t="s">
        <v>296</v>
      </c>
      <c r="M33" t="s">
        <v>626</v>
      </c>
      <c r="N33">
        <v>1992</v>
      </c>
      <c r="O33" t="s">
        <v>64</v>
      </c>
      <c r="P33" s="1" t="s">
        <v>312</v>
      </c>
      <c r="Q33" s="3">
        <v>0.50418221593102497</v>
      </c>
      <c r="R33" s="1" t="s">
        <v>313</v>
      </c>
      <c r="S33" s="1" t="s">
        <v>314</v>
      </c>
      <c r="T33" s="1" t="s">
        <v>315</v>
      </c>
      <c r="U33" s="1" t="s">
        <v>316</v>
      </c>
      <c r="V33" s="1" t="s">
        <v>317</v>
      </c>
      <c r="W33" s="1" t="s">
        <v>318</v>
      </c>
      <c r="X33" s="1" t="s">
        <v>319</v>
      </c>
      <c r="Y33" s="5">
        <v>0.54190871369294602</v>
      </c>
      <c r="Z33" s="1">
        <v>0.58313106796116498</v>
      </c>
      <c r="AA33" s="1">
        <v>0.53571428571428503</v>
      </c>
      <c r="AB33" s="1">
        <v>0.44135593220338898</v>
      </c>
      <c r="AC33" s="1">
        <v>0.69565217391304301</v>
      </c>
      <c r="AD33" s="1">
        <v>0.81578947368420995</v>
      </c>
      <c r="AE33" s="1">
        <v>0.63190184049079701</v>
      </c>
      <c r="AF33" s="1">
        <v>0.74752475247524697</v>
      </c>
      <c r="AG33" s="6" t="s">
        <v>320</v>
      </c>
      <c r="AH33" s="1">
        <v>0.58704948075748298</v>
      </c>
      <c r="AI33">
        <v>7.3891625615763498E-2</v>
      </c>
      <c r="AJ33" s="1">
        <v>0.39169675090252698</v>
      </c>
      <c r="AK33" s="1">
        <v>0.20253164556962</v>
      </c>
      <c r="AL33">
        <v>0.62</v>
      </c>
      <c r="AM33" s="1">
        <v>0.43096234309623399</v>
      </c>
      <c r="AN33" s="1">
        <v>0.63983050847457601</v>
      </c>
      <c r="AO33">
        <v>4.944</v>
      </c>
      <c r="AP33">
        <v>307.24400000000003</v>
      </c>
      <c r="AQ33">
        <v>19.215</v>
      </c>
    </row>
    <row r="34" spans="1:43" x14ac:dyDescent="0.45">
      <c r="A34">
        <v>43</v>
      </c>
      <c r="B34" t="s">
        <v>331</v>
      </c>
      <c r="C34" t="s">
        <v>283</v>
      </c>
      <c r="D34" t="s">
        <v>284</v>
      </c>
      <c r="E34" s="1" t="s">
        <v>84</v>
      </c>
      <c r="F34">
        <v>0.01</v>
      </c>
      <c r="G34">
        <v>16</v>
      </c>
      <c r="H34">
        <v>8</v>
      </c>
      <c r="I34">
        <v>2</v>
      </c>
      <c r="J34">
        <v>400</v>
      </c>
      <c r="K34">
        <v>400</v>
      </c>
      <c r="L34" s="1" t="s">
        <v>332</v>
      </c>
      <c r="M34" t="s">
        <v>626</v>
      </c>
      <c r="N34">
        <v>1992</v>
      </c>
      <c r="O34" t="s">
        <v>46</v>
      </c>
      <c r="P34" s="1" t="s">
        <v>333</v>
      </c>
      <c r="Q34" s="3">
        <v>0.48623198744471302</v>
      </c>
      <c r="R34" s="1" t="s">
        <v>334</v>
      </c>
      <c r="S34" s="1" t="s">
        <v>335</v>
      </c>
      <c r="T34" s="1" t="s">
        <v>336</v>
      </c>
      <c r="U34" s="1" t="s">
        <v>186</v>
      </c>
      <c r="V34" s="1" t="s">
        <v>260</v>
      </c>
      <c r="W34" s="1" t="s">
        <v>337</v>
      </c>
      <c r="X34" s="1" t="s">
        <v>338</v>
      </c>
      <c r="Y34" s="6" t="s">
        <v>339</v>
      </c>
      <c r="Z34">
        <v>0.52933507170795302</v>
      </c>
      <c r="AA34" s="1">
        <v>0.42857142857142799</v>
      </c>
      <c r="AB34" s="1">
        <v>0.42141230068337099</v>
      </c>
      <c r="AC34">
        <v>0.32</v>
      </c>
      <c r="AD34" s="1">
        <v>0.72222222222222199</v>
      </c>
      <c r="AE34" s="1">
        <v>0.54032258064516103</v>
      </c>
      <c r="AF34" s="1">
        <v>0.63687150837988804</v>
      </c>
      <c r="AG34" s="6" t="s">
        <v>341</v>
      </c>
      <c r="AH34" s="1">
        <v>0.561549100968188</v>
      </c>
      <c r="AI34" s="1">
        <v>0.210332103321033</v>
      </c>
      <c r="AJ34" s="1">
        <v>0.40659340659340598</v>
      </c>
      <c r="AK34" s="1">
        <v>0.25806451612903197</v>
      </c>
      <c r="AL34" s="1">
        <v>0.819819819819819</v>
      </c>
      <c r="AM34" s="1">
        <v>0.41104294478527598</v>
      </c>
      <c r="AN34" s="1">
        <v>0.61956521739130399</v>
      </c>
      <c r="AO34">
        <v>5.9119999999999999</v>
      </c>
      <c r="AP34">
        <v>305.99</v>
      </c>
      <c r="AQ34">
        <v>19.283000000000001</v>
      </c>
    </row>
    <row r="35" spans="1:43" x14ac:dyDescent="0.45">
      <c r="A35">
        <v>43</v>
      </c>
      <c r="B35" t="s">
        <v>331</v>
      </c>
      <c r="C35" t="s">
        <v>283</v>
      </c>
      <c r="D35" t="s">
        <v>284</v>
      </c>
      <c r="E35" s="1" t="s">
        <v>84</v>
      </c>
      <c r="F35">
        <v>0.01</v>
      </c>
      <c r="G35">
        <v>16</v>
      </c>
      <c r="H35">
        <v>8</v>
      </c>
      <c r="I35">
        <v>2</v>
      </c>
      <c r="J35">
        <v>400</v>
      </c>
      <c r="K35">
        <v>400</v>
      </c>
      <c r="L35" s="1" t="s">
        <v>332</v>
      </c>
      <c r="M35" t="s">
        <v>626</v>
      </c>
      <c r="N35">
        <v>1992</v>
      </c>
      <c r="O35" t="s">
        <v>64</v>
      </c>
      <c r="P35" s="1" t="s">
        <v>348</v>
      </c>
      <c r="Q35" s="3">
        <v>0.52944901836605396</v>
      </c>
      <c r="R35" s="1" t="s">
        <v>349</v>
      </c>
      <c r="S35" s="1" t="s">
        <v>350</v>
      </c>
      <c r="T35" s="1" t="s">
        <v>351</v>
      </c>
      <c r="U35" s="1" t="s">
        <v>352</v>
      </c>
      <c r="V35" s="1" t="s">
        <v>353</v>
      </c>
      <c r="W35" s="1" t="s">
        <v>354</v>
      </c>
      <c r="X35" s="1" t="s">
        <v>355</v>
      </c>
      <c r="Y35" s="6" t="s">
        <v>356</v>
      </c>
      <c r="Z35" s="1">
        <v>0.62363519588953098</v>
      </c>
      <c r="AA35" s="1">
        <v>0.42574257425742501</v>
      </c>
      <c r="AB35" s="1">
        <v>0.44854368932038802</v>
      </c>
      <c r="AC35" s="1">
        <v>0.677966101694915</v>
      </c>
      <c r="AD35">
        <v>0.8</v>
      </c>
      <c r="AE35" s="1">
        <v>0.67613636363636298</v>
      </c>
      <c r="AF35" s="1">
        <v>0.723981900452488</v>
      </c>
      <c r="AG35" s="6" t="s">
        <v>123</v>
      </c>
      <c r="AH35" s="1">
        <v>0.59315821624923604</v>
      </c>
      <c r="AI35" s="1">
        <v>0.21182266009852199</v>
      </c>
      <c r="AJ35" s="1">
        <v>0.41696750902527002</v>
      </c>
      <c r="AK35" s="1">
        <v>0.50632911392405</v>
      </c>
      <c r="AL35">
        <v>0.64</v>
      </c>
      <c r="AM35">
        <v>0.497907949790795</v>
      </c>
      <c r="AN35" s="1">
        <v>0.677966101694915</v>
      </c>
      <c r="AO35">
        <v>5.0995999999999997</v>
      </c>
      <c r="AP35">
        <v>297.86399999999998</v>
      </c>
      <c r="AQ35">
        <v>18.629000000000001</v>
      </c>
    </row>
    <row r="36" spans="1:43" x14ac:dyDescent="0.45">
      <c r="A36">
        <v>43</v>
      </c>
      <c r="B36" t="s">
        <v>368</v>
      </c>
      <c r="C36" t="s">
        <v>283</v>
      </c>
      <c r="D36" t="s">
        <v>284</v>
      </c>
      <c r="E36" s="1" t="s">
        <v>125</v>
      </c>
      <c r="F36">
        <v>0.01</v>
      </c>
      <c r="G36">
        <v>16</v>
      </c>
      <c r="H36">
        <v>8</v>
      </c>
      <c r="I36">
        <v>2</v>
      </c>
      <c r="J36">
        <v>400</v>
      </c>
      <c r="K36">
        <v>400</v>
      </c>
      <c r="L36" s="1" t="s">
        <v>369</v>
      </c>
      <c r="M36" t="s">
        <v>626</v>
      </c>
      <c r="N36">
        <v>1992</v>
      </c>
      <c r="O36" t="s">
        <v>46</v>
      </c>
      <c r="P36" s="1" t="s">
        <v>370</v>
      </c>
      <c r="Q36" s="3">
        <v>0.49346546029010402</v>
      </c>
      <c r="R36" s="1" t="s">
        <v>371</v>
      </c>
      <c r="S36" s="1" t="s">
        <v>372</v>
      </c>
      <c r="T36">
        <v>0.421092564491654</v>
      </c>
      <c r="U36">
        <v>0.40625</v>
      </c>
      <c r="V36" s="1" t="s">
        <v>373</v>
      </c>
      <c r="W36" s="1" t="s">
        <v>374</v>
      </c>
      <c r="X36" s="1" t="s">
        <v>375</v>
      </c>
      <c r="Y36" s="6" t="s">
        <v>376</v>
      </c>
      <c r="Z36" s="1">
        <v>0.54189189189189102</v>
      </c>
      <c r="AA36" s="1">
        <v>0.410404624277456</v>
      </c>
      <c r="AB36" s="1">
        <v>0.43666404405979498</v>
      </c>
      <c r="AC36" s="1">
        <v>0.39393939393939298</v>
      </c>
      <c r="AD36">
        <v>0.70399999999999996</v>
      </c>
      <c r="AE36" s="1">
        <v>0.56349206349206304</v>
      </c>
      <c r="AF36" s="1">
        <v>0.64130434782608603</v>
      </c>
      <c r="AG36" s="6" t="s">
        <v>377</v>
      </c>
      <c r="AH36" s="1">
        <v>0.55463347164591903</v>
      </c>
      <c r="AI36" s="1">
        <v>0.26199261992619899</v>
      </c>
      <c r="AJ36" s="1">
        <v>0.40659340659340598</v>
      </c>
      <c r="AK36" s="1">
        <v>0.41935483870967699</v>
      </c>
      <c r="AL36" s="1">
        <v>0.79279279279279202</v>
      </c>
      <c r="AM36" s="1">
        <v>0.435582822085889</v>
      </c>
      <c r="AN36" s="1">
        <v>0.64130434782608603</v>
      </c>
      <c r="AO36">
        <v>6.3691000000000004</v>
      </c>
      <c r="AP36">
        <v>284.02600000000001</v>
      </c>
      <c r="AQ36">
        <v>17.899000000000001</v>
      </c>
    </row>
    <row r="37" spans="1:43" x14ac:dyDescent="0.45">
      <c r="A37">
        <v>43</v>
      </c>
      <c r="B37" t="s">
        <v>368</v>
      </c>
      <c r="C37" t="s">
        <v>283</v>
      </c>
      <c r="D37" t="s">
        <v>284</v>
      </c>
      <c r="E37" s="1" t="s">
        <v>125</v>
      </c>
      <c r="F37">
        <v>0.01</v>
      </c>
      <c r="G37">
        <v>16</v>
      </c>
      <c r="H37">
        <v>8</v>
      </c>
      <c r="I37">
        <v>2</v>
      </c>
      <c r="J37">
        <v>400</v>
      </c>
      <c r="K37">
        <v>400</v>
      </c>
      <c r="L37" s="1" t="s">
        <v>369</v>
      </c>
      <c r="M37" t="s">
        <v>626</v>
      </c>
      <c r="N37">
        <v>1992</v>
      </c>
      <c r="O37" t="s">
        <v>64</v>
      </c>
      <c r="P37">
        <v>0.68901658058166504</v>
      </c>
      <c r="Q37" s="3">
        <v>0.53369411158355795</v>
      </c>
      <c r="R37" s="1" t="s">
        <v>388</v>
      </c>
      <c r="S37" s="1" t="s">
        <v>389</v>
      </c>
      <c r="T37">
        <v>0.43838254172015401</v>
      </c>
      <c r="U37" s="1" t="s">
        <v>390</v>
      </c>
      <c r="V37" s="1" t="s">
        <v>391</v>
      </c>
      <c r="W37" s="1" t="s">
        <v>392</v>
      </c>
      <c r="X37" s="1" t="s">
        <v>393</v>
      </c>
      <c r="Y37" s="6" t="s">
        <v>394</v>
      </c>
      <c r="Z37" s="1">
        <v>0.63270777479892704</v>
      </c>
      <c r="AA37" s="1">
        <v>0.43119266055045802</v>
      </c>
      <c r="AB37" s="1">
        <v>0.46973865199449699</v>
      </c>
      <c r="AC37" s="1">
        <v>0.65517241379310298</v>
      </c>
      <c r="AD37" s="1">
        <v>0.81481481481481399</v>
      </c>
      <c r="AE37" s="1">
        <v>0.67955801104972302</v>
      </c>
      <c r="AF37" s="1">
        <v>0.73913043478260798</v>
      </c>
      <c r="AG37" s="6" t="s">
        <v>395</v>
      </c>
      <c r="AH37" s="1">
        <v>0.57666463042150196</v>
      </c>
      <c r="AI37" s="1">
        <v>0.231527093596059</v>
      </c>
      <c r="AJ37" s="1">
        <v>0.41095066185318802</v>
      </c>
      <c r="AK37" s="1">
        <v>0.481012658227848</v>
      </c>
      <c r="AL37">
        <v>0.66</v>
      </c>
      <c r="AM37" s="1">
        <v>0.51464435146443499</v>
      </c>
      <c r="AN37" s="1">
        <v>0.72033898305084698</v>
      </c>
      <c r="AO37">
        <v>5.0167999999999999</v>
      </c>
      <c r="AP37">
        <v>302.78399999999999</v>
      </c>
      <c r="AQ37">
        <v>18.936</v>
      </c>
    </row>
    <row r="38" spans="1:43" x14ac:dyDescent="0.45">
      <c r="A38">
        <v>42</v>
      </c>
      <c r="B38" t="s">
        <v>396</v>
      </c>
      <c r="C38" t="s">
        <v>397</v>
      </c>
      <c r="D38" t="s">
        <v>398</v>
      </c>
      <c r="E38" s="1" t="s">
        <v>45</v>
      </c>
      <c r="F38">
        <v>0.01</v>
      </c>
      <c r="G38">
        <v>16</v>
      </c>
      <c r="H38">
        <v>8</v>
      </c>
      <c r="I38">
        <v>2</v>
      </c>
      <c r="J38">
        <v>400</v>
      </c>
      <c r="K38">
        <v>400</v>
      </c>
      <c r="L38" s="1" t="s">
        <v>399</v>
      </c>
      <c r="M38" t="s">
        <v>629</v>
      </c>
      <c r="N38">
        <v>2000</v>
      </c>
      <c r="O38" t="s">
        <v>46</v>
      </c>
      <c r="P38" s="1" t="s">
        <v>400</v>
      </c>
      <c r="Q38" s="3">
        <v>0.44972471747319598</v>
      </c>
      <c r="R38" s="1" t="s">
        <v>401</v>
      </c>
      <c r="S38">
        <v>0</v>
      </c>
      <c r="T38" s="1" t="s">
        <v>402</v>
      </c>
      <c r="U38">
        <v>0</v>
      </c>
      <c r="V38" s="1" t="s">
        <v>403</v>
      </c>
      <c r="W38" s="1" t="s">
        <v>193</v>
      </c>
      <c r="X38" s="1" t="s">
        <v>404</v>
      </c>
      <c r="Y38" s="6" t="s">
        <v>405</v>
      </c>
      <c r="Z38" s="1">
        <v>0.48265895953757199</v>
      </c>
      <c r="AA38">
        <v>0</v>
      </c>
      <c r="AB38">
        <v>0.40187713310580198</v>
      </c>
      <c r="AC38">
        <v>0</v>
      </c>
      <c r="AD38" s="1">
        <v>0.63235294117647001</v>
      </c>
      <c r="AE38">
        <v>0.52</v>
      </c>
      <c r="AF38" s="1">
        <v>0.61290322580645096</v>
      </c>
      <c r="AG38" s="6" t="s">
        <v>406</v>
      </c>
      <c r="AH38" s="1">
        <v>0.57270233196159104</v>
      </c>
      <c r="AI38">
        <v>0</v>
      </c>
      <c r="AJ38" s="1">
        <v>0.34304442825928599</v>
      </c>
      <c r="AK38">
        <v>0</v>
      </c>
      <c r="AL38" s="1">
        <v>0.77477477477477397</v>
      </c>
      <c r="AM38" s="1">
        <v>0.40372670807453398</v>
      </c>
      <c r="AN38" s="1">
        <v>0.51630434782608603</v>
      </c>
      <c r="AO38">
        <v>6.2359999999999998</v>
      </c>
      <c r="AP38">
        <v>291.21199999999999</v>
      </c>
      <c r="AQ38">
        <v>18.280999999999999</v>
      </c>
    </row>
    <row r="39" spans="1:43" x14ac:dyDescent="0.45">
      <c r="A39">
        <v>42</v>
      </c>
      <c r="B39" t="s">
        <v>396</v>
      </c>
      <c r="C39" t="s">
        <v>397</v>
      </c>
      <c r="D39" t="s">
        <v>398</v>
      </c>
      <c r="E39" s="1" t="s">
        <v>45</v>
      </c>
      <c r="F39">
        <v>0.01</v>
      </c>
      <c r="G39">
        <v>16</v>
      </c>
      <c r="H39">
        <v>8</v>
      </c>
      <c r="I39">
        <v>2</v>
      </c>
      <c r="J39">
        <v>400</v>
      </c>
      <c r="K39">
        <v>400</v>
      </c>
      <c r="L39" s="1" t="s">
        <v>399</v>
      </c>
      <c r="M39" t="s">
        <v>629</v>
      </c>
      <c r="N39">
        <v>2000</v>
      </c>
      <c r="O39" t="s">
        <v>64</v>
      </c>
      <c r="P39" s="1" t="s">
        <v>416</v>
      </c>
      <c r="Q39" s="3">
        <v>0.48791152263374399</v>
      </c>
      <c r="R39" s="1" t="s">
        <v>417</v>
      </c>
      <c r="S39">
        <v>0</v>
      </c>
      <c r="T39" s="1" t="s">
        <v>418</v>
      </c>
      <c r="U39">
        <v>0</v>
      </c>
      <c r="V39" s="1" t="s">
        <v>419</v>
      </c>
      <c r="W39" s="1" t="s">
        <v>420</v>
      </c>
      <c r="X39">
        <v>0.69107551487414198</v>
      </c>
      <c r="Y39" s="6" t="s">
        <v>421</v>
      </c>
      <c r="Z39" s="1">
        <v>0.54146073585941701</v>
      </c>
      <c r="AA39">
        <v>0</v>
      </c>
      <c r="AB39" s="1">
        <v>0.45195195195195098</v>
      </c>
      <c r="AC39">
        <v>0</v>
      </c>
      <c r="AD39" s="1">
        <v>0.71764705882352897</v>
      </c>
      <c r="AE39" s="1">
        <v>0.59146341463414598</v>
      </c>
      <c r="AF39">
        <v>0.755</v>
      </c>
      <c r="AG39" s="6" t="s">
        <v>422</v>
      </c>
      <c r="AH39" s="1">
        <v>0.59866423800849999</v>
      </c>
      <c r="AI39">
        <v>0</v>
      </c>
      <c r="AJ39" s="1">
        <v>0.35940298507462598</v>
      </c>
      <c r="AK39">
        <v>0</v>
      </c>
      <c r="AL39" s="1">
        <v>0.61616161616161602</v>
      </c>
      <c r="AM39">
        <v>0.40585774058577401</v>
      </c>
      <c r="AN39" s="1">
        <v>0.63713080168776304</v>
      </c>
      <c r="AO39">
        <v>5.5339</v>
      </c>
      <c r="AP39">
        <v>274.66899999999998</v>
      </c>
      <c r="AQ39">
        <v>17.167000000000002</v>
      </c>
    </row>
    <row r="40" spans="1:43" x14ac:dyDescent="0.45">
      <c r="A40">
        <v>42</v>
      </c>
      <c r="B40" t="s">
        <v>430</v>
      </c>
      <c r="C40" t="s">
        <v>397</v>
      </c>
      <c r="D40" t="s">
        <v>398</v>
      </c>
      <c r="E40" s="1" t="s">
        <v>84</v>
      </c>
      <c r="F40">
        <v>0.01</v>
      </c>
      <c r="G40">
        <v>16</v>
      </c>
      <c r="H40">
        <v>8</v>
      </c>
      <c r="I40">
        <v>2</v>
      </c>
      <c r="J40">
        <v>400</v>
      </c>
      <c r="K40">
        <v>400</v>
      </c>
      <c r="L40" s="1" t="s">
        <v>431</v>
      </c>
      <c r="M40" t="s">
        <v>629</v>
      </c>
      <c r="N40">
        <v>2000</v>
      </c>
      <c r="O40" t="s">
        <v>46</v>
      </c>
      <c r="P40" s="1" t="s">
        <v>432</v>
      </c>
      <c r="Q40" s="3">
        <v>0.48405356896313601</v>
      </c>
      <c r="R40" s="1" t="s">
        <v>433</v>
      </c>
      <c r="S40" s="1" t="s">
        <v>434</v>
      </c>
      <c r="T40" s="1" t="s">
        <v>435</v>
      </c>
      <c r="U40" s="1" t="s">
        <v>436</v>
      </c>
      <c r="V40" s="1" t="s">
        <v>437</v>
      </c>
      <c r="W40" s="1" t="s">
        <v>438</v>
      </c>
      <c r="X40" s="1" t="s">
        <v>439</v>
      </c>
      <c r="Y40" s="6" t="s">
        <v>440</v>
      </c>
      <c r="Z40" s="1">
        <v>0.51825254338719295</v>
      </c>
      <c r="AA40" s="1">
        <v>0.42657342657342601</v>
      </c>
      <c r="AB40" s="1">
        <v>0.40397350993377401</v>
      </c>
      <c r="AC40" s="1">
        <v>0.36363636363636298</v>
      </c>
      <c r="AD40" s="1">
        <v>0.63909774436090205</v>
      </c>
      <c r="AE40" s="1">
        <v>0.48951048951048898</v>
      </c>
      <c r="AF40" s="1">
        <v>0.60638297872340396</v>
      </c>
      <c r="AG40" s="6" t="s">
        <v>441</v>
      </c>
      <c r="AH40" s="1">
        <v>0.59396433470507504</v>
      </c>
      <c r="AI40" s="1">
        <v>0.22932330827067601</v>
      </c>
      <c r="AJ40" s="1">
        <v>0.39985433357611</v>
      </c>
      <c r="AK40" s="1">
        <v>0.25806451612903197</v>
      </c>
      <c r="AL40" s="1">
        <v>0.76576576576576505</v>
      </c>
      <c r="AM40" s="1">
        <v>0.434782608695652</v>
      </c>
      <c r="AN40" s="1">
        <v>0.61956521739130399</v>
      </c>
      <c r="AO40">
        <v>6.4893000000000001</v>
      </c>
      <c r="AP40">
        <v>279.84500000000003</v>
      </c>
      <c r="AQ40">
        <v>17.567</v>
      </c>
    </row>
    <row r="41" spans="1:43" x14ac:dyDescent="0.45">
      <c r="A41">
        <v>42</v>
      </c>
      <c r="B41" t="s">
        <v>430</v>
      </c>
      <c r="C41" t="s">
        <v>397</v>
      </c>
      <c r="D41" t="s">
        <v>398</v>
      </c>
      <c r="E41" s="1" t="s">
        <v>84</v>
      </c>
      <c r="F41">
        <v>0.01</v>
      </c>
      <c r="G41">
        <v>16</v>
      </c>
      <c r="H41">
        <v>8</v>
      </c>
      <c r="I41">
        <v>2</v>
      </c>
      <c r="J41">
        <v>400</v>
      </c>
      <c r="K41">
        <v>400</v>
      </c>
      <c r="L41" s="1" t="s">
        <v>431</v>
      </c>
      <c r="M41" t="s">
        <v>629</v>
      </c>
      <c r="N41">
        <v>2000</v>
      </c>
      <c r="O41" t="s">
        <v>64</v>
      </c>
      <c r="P41" s="1" t="s">
        <v>451</v>
      </c>
      <c r="Q41" s="3">
        <v>0.52390903503380404</v>
      </c>
      <c r="R41" s="1" t="s">
        <v>452</v>
      </c>
      <c r="S41" s="1" t="s">
        <v>453</v>
      </c>
      <c r="T41">
        <v>0.42700844013754302</v>
      </c>
      <c r="U41" s="1" t="s">
        <v>454</v>
      </c>
      <c r="V41" s="1" t="s">
        <v>455</v>
      </c>
      <c r="W41" s="1" t="s">
        <v>456</v>
      </c>
      <c r="X41" s="1" t="s">
        <v>457</v>
      </c>
      <c r="Y41" s="6" t="s">
        <v>458</v>
      </c>
      <c r="Z41" s="1">
        <v>0.56880222841225603</v>
      </c>
      <c r="AA41" s="1">
        <v>0.45918367346938699</v>
      </c>
      <c r="AB41" s="1">
        <v>0.448162729658792</v>
      </c>
      <c r="AC41" s="1">
        <v>0.63829787234042501</v>
      </c>
      <c r="AD41" s="1">
        <v>0.74712643678160895</v>
      </c>
      <c r="AE41" s="1">
        <v>0.643243243243243</v>
      </c>
      <c r="AF41" s="1">
        <v>0.74666666666666603</v>
      </c>
      <c r="AG41" s="6" t="s">
        <v>459</v>
      </c>
      <c r="AH41" s="1">
        <v>0.61991499696417696</v>
      </c>
      <c r="AI41">
        <v>0.22500000000000001</v>
      </c>
      <c r="AJ41" s="1">
        <v>0.40776119402985</v>
      </c>
      <c r="AK41" s="1">
        <v>0.38961038961038902</v>
      </c>
      <c r="AL41" s="1">
        <v>0.65656565656565602</v>
      </c>
      <c r="AM41">
        <v>0.497907949790795</v>
      </c>
      <c r="AN41" s="1">
        <v>0.70886075949367</v>
      </c>
      <c r="AO41">
        <v>5.6332000000000004</v>
      </c>
      <c r="AP41">
        <v>269.827</v>
      </c>
      <c r="AQ41">
        <v>16.864000000000001</v>
      </c>
    </row>
    <row r="42" spans="1:43" x14ac:dyDescent="0.45">
      <c r="A42">
        <v>42</v>
      </c>
      <c r="B42" t="s">
        <v>469</v>
      </c>
      <c r="C42" t="s">
        <v>397</v>
      </c>
      <c r="D42" t="s">
        <v>398</v>
      </c>
      <c r="E42" s="1" t="s">
        <v>125</v>
      </c>
      <c r="F42">
        <v>0.01</v>
      </c>
      <c r="G42">
        <v>16</v>
      </c>
      <c r="H42">
        <v>8</v>
      </c>
      <c r="I42">
        <v>2</v>
      </c>
      <c r="J42">
        <v>400</v>
      </c>
      <c r="K42">
        <v>400</v>
      </c>
      <c r="L42" s="1" t="s">
        <v>470</v>
      </c>
      <c r="M42" t="s">
        <v>629</v>
      </c>
      <c r="N42">
        <v>2000</v>
      </c>
      <c r="O42" t="s">
        <v>46</v>
      </c>
      <c r="P42" s="1" t="s">
        <v>471</v>
      </c>
      <c r="Q42" s="3">
        <v>0.49769710105662401</v>
      </c>
      <c r="R42" s="1" t="s">
        <v>472</v>
      </c>
      <c r="S42" s="1" t="s">
        <v>473</v>
      </c>
      <c r="T42" s="1" t="s">
        <v>474</v>
      </c>
      <c r="U42" s="1" t="s">
        <v>475</v>
      </c>
      <c r="V42" s="1" t="s">
        <v>476</v>
      </c>
      <c r="W42" s="1" t="s">
        <v>477</v>
      </c>
      <c r="X42" s="1" t="s">
        <v>478</v>
      </c>
      <c r="Y42" s="6" t="s">
        <v>479</v>
      </c>
      <c r="Z42" s="1">
        <v>0.52762598664238003</v>
      </c>
      <c r="AA42" s="1">
        <v>0.44632768361581898</v>
      </c>
      <c r="AB42" s="1">
        <v>0.40785907859078502</v>
      </c>
      <c r="AC42" s="1">
        <v>0.39285714285714202</v>
      </c>
      <c r="AD42">
        <v>0.63503649635036497</v>
      </c>
      <c r="AE42" s="1">
        <v>0.52027027027026995</v>
      </c>
      <c r="AF42" s="1">
        <v>0.60540540540540499</v>
      </c>
      <c r="AG42" s="6" t="s">
        <v>481</v>
      </c>
      <c r="AH42" s="1">
        <v>0.59602194787379903</v>
      </c>
      <c r="AI42" s="1">
        <v>0.29699248120300697</v>
      </c>
      <c r="AJ42" s="1">
        <v>0.43845593590677301</v>
      </c>
      <c r="AK42" s="1">
        <v>0.35483870967741898</v>
      </c>
      <c r="AL42" s="1">
        <v>0.78378378378378299</v>
      </c>
      <c r="AM42" s="1">
        <v>0.47826086956521702</v>
      </c>
      <c r="AN42" s="1">
        <v>0.60869565217391297</v>
      </c>
      <c r="AO42">
        <v>6.4379</v>
      </c>
      <c r="AP42">
        <v>282.08</v>
      </c>
      <c r="AQ42">
        <v>17.707999999999998</v>
      </c>
    </row>
    <row r="43" spans="1:43" x14ac:dyDescent="0.45">
      <c r="A43">
        <v>42</v>
      </c>
      <c r="B43" t="s">
        <v>469</v>
      </c>
      <c r="C43" t="s">
        <v>397</v>
      </c>
      <c r="D43" t="s">
        <v>398</v>
      </c>
      <c r="E43" s="1" t="s">
        <v>125</v>
      </c>
      <c r="F43">
        <v>0.01</v>
      </c>
      <c r="G43">
        <v>16</v>
      </c>
      <c r="H43">
        <v>8</v>
      </c>
      <c r="I43">
        <v>2</v>
      </c>
      <c r="J43">
        <v>400</v>
      </c>
      <c r="K43">
        <v>400</v>
      </c>
      <c r="L43" s="1" t="s">
        <v>470</v>
      </c>
      <c r="M43" t="s">
        <v>629</v>
      </c>
      <c r="N43">
        <v>2000</v>
      </c>
      <c r="O43" t="s">
        <v>64</v>
      </c>
      <c r="P43" s="1" t="s">
        <v>493</v>
      </c>
      <c r="Q43" s="3">
        <v>0.53703703703703698</v>
      </c>
      <c r="R43" s="1" t="s">
        <v>494</v>
      </c>
      <c r="S43" s="1" t="s">
        <v>495</v>
      </c>
      <c r="T43" s="1" t="s">
        <v>496</v>
      </c>
      <c r="U43" s="1" t="s">
        <v>497</v>
      </c>
      <c r="V43" s="1" t="s">
        <v>498</v>
      </c>
      <c r="W43" s="1" t="s">
        <v>499</v>
      </c>
      <c r="X43" s="1" t="s">
        <v>500</v>
      </c>
      <c r="Y43" s="6" t="s">
        <v>501</v>
      </c>
      <c r="Z43" s="1">
        <v>0.59013605442176797</v>
      </c>
      <c r="AA43" s="1">
        <v>0.44736842105263103</v>
      </c>
      <c r="AB43" s="1">
        <v>0.45179584120982902</v>
      </c>
      <c r="AC43" s="1">
        <v>0.69230769230769196</v>
      </c>
      <c r="AD43" s="1">
        <v>0.71590909090909005</v>
      </c>
      <c r="AE43" s="1">
        <v>0.633663366336633</v>
      </c>
      <c r="AF43" s="1">
        <v>0.740088105726872</v>
      </c>
      <c r="AG43" s="6" t="s">
        <v>502</v>
      </c>
      <c r="AH43" s="1">
        <v>0.63205828779599205</v>
      </c>
      <c r="AI43">
        <v>0.255</v>
      </c>
      <c r="AJ43" s="1">
        <v>0.42805970149253703</v>
      </c>
      <c r="AK43" s="1">
        <v>0.46753246753246702</v>
      </c>
      <c r="AL43" s="1">
        <v>0.63636363636363602</v>
      </c>
      <c r="AM43" s="1">
        <v>0.53556485355648498</v>
      </c>
      <c r="AN43" s="1">
        <v>0.70886075949367</v>
      </c>
      <c r="AO43">
        <v>5.6234000000000002</v>
      </c>
      <c r="AP43">
        <v>270.30099999999999</v>
      </c>
      <c r="AQ43">
        <v>16.893999999999998</v>
      </c>
    </row>
    <row r="44" spans="1:43" x14ac:dyDescent="0.45">
      <c r="A44">
        <v>43</v>
      </c>
      <c r="B44" t="s">
        <v>407</v>
      </c>
      <c r="C44" t="s">
        <v>397</v>
      </c>
      <c r="D44" t="s">
        <v>398</v>
      </c>
      <c r="E44" s="1" t="s">
        <v>45</v>
      </c>
      <c r="F44">
        <v>0.01</v>
      </c>
      <c r="G44">
        <v>16</v>
      </c>
      <c r="H44">
        <v>8</v>
      </c>
      <c r="I44">
        <v>2</v>
      </c>
      <c r="J44">
        <v>400</v>
      </c>
      <c r="K44">
        <v>400</v>
      </c>
      <c r="L44" s="1" t="s">
        <v>408</v>
      </c>
      <c r="M44" t="s">
        <v>626</v>
      </c>
      <c r="N44">
        <v>2000</v>
      </c>
      <c r="O44" t="s">
        <v>46</v>
      </c>
      <c r="P44" s="1" t="s">
        <v>409</v>
      </c>
      <c r="Q44" s="3">
        <v>0.43854707190511399</v>
      </c>
      <c r="R44" s="1" t="s">
        <v>410</v>
      </c>
      <c r="S44">
        <v>1.48148148148148E-2</v>
      </c>
      <c r="T44" s="1" t="s">
        <v>411</v>
      </c>
      <c r="U44">
        <v>0</v>
      </c>
      <c r="V44" s="1" t="s">
        <v>412</v>
      </c>
      <c r="W44" s="1" t="s">
        <v>101</v>
      </c>
      <c r="X44" s="1" t="s">
        <v>413</v>
      </c>
      <c r="Y44" s="6" t="s">
        <v>414</v>
      </c>
      <c r="Z44" s="1">
        <v>0.48727498448168799</v>
      </c>
      <c r="AA44">
        <v>0.5</v>
      </c>
      <c r="AB44" s="1">
        <v>0.39624329159212801</v>
      </c>
      <c r="AC44">
        <v>0</v>
      </c>
      <c r="AD44" s="1">
        <v>0.65648854961832004</v>
      </c>
      <c r="AE44" s="1">
        <v>0.46511627906976699</v>
      </c>
      <c r="AF44" s="1">
        <v>0.61309523809523803</v>
      </c>
      <c r="AG44" s="6" t="s">
        <v>415</v>
      </c>
      <c r="AH44" s="1">
        <v>0.53840877914951901</v>
      </c>
      <c r="AI44">
        <v>7.5187969924812E-3</v>
      </c>
      <c r="AJ44" s="1">
        <v>0.32265112891478498</v>
      </c>
      <c r="AK44">
        <v>0</v>
      </c>
      <c r="AL44" s="1">
        <v>0.77477477477477397</v>
      </c>
      <c r="AM44" s="1">
        <v>0.37267080745341602</v>
      </c>
      <c r="AN44" s="1">
        <v>0.559782608695652</v>
      </c>
      <c r="AO44">
        <v>6.1440000000000001</v>
      </c>
      <c r="AP44">
        <v>295.57299999999998</v>
      </c>
      <c r="AQ44">
        <v>18.555</v>
      </c>
    </row>
    <row r="45" spans="1:43" x14ac:dyDescent="0.45">
      <c r="A45">
        <v>43</v>
      </c>
      <c r="B45" t="s">
        <v>407</v>
      </c>
      <c r="C45" t="s">
        <v>397</v>
      </c>
      <c r="D45" t="s">
        <v>398</v>
      </c>
      <c r="E45" s="1" t="s">
        <v>45</v>
      </c>
      <c r="F45">
        <v>0.01</v>
      </c>
      <c r="G45">
        <v>16</v>
      </c>
      <c r="H45">
        <v>8</v>
      </c>
      <c r="I45">
        <v>2</v>
      </c>
      <c r="J45">
        <v>400</v>
      </c>
      <c r="K45">
        <v>400</v>
      </c>
      <c r="L45" s="1" t="s">
        <v>408</v>
      </c>
      <c r="M45" t="s">
        <v>626</v>
      </c>
      <c r="N45">
        <v>2000</v>
      </c>
      <c r="O45" t="s">
        <v>64</v>
      </c>
      <c r="P45" s="1" t="s">
        <v>423</v>
      </c>
      <c r="Q45" s="2">
        <v>0.49043250327653998</v>
      </c>
      <c r="R45">
        <v>0.56348969226172696</v>
      </c>
      <c r="S45">
        <v>1.9704433497536901E-2</v>
      </c>
      <c r="T45" s="1" t="s">
        <v>424</v>
      </c>
      <c r="U45">
        <v>0</v>
      </c>
      <c r="V45" s="1" t="s">
        <v>425</v>
      </c>
      <c r="W45" s="1" t="s">
        <v>426</v>
      </c>
      <c r="X45" s="1" t="s">
        <v>427</v>
      </c>
      <c r="Y45" s="6" t="s">
        <v>428</v>
      </c>
      <c r="Z45" s="1">
        <v>0.55470588235294105</v>
      </c>
      <c r="AA45" s="1">
        <v>0.66666666666666596</v>
      </c>
      <c r="AB45" s="1">
        <v>0.47593167701863298</v>
      </c>
      <c r="AC45">
        <v>0</v>
      </c>
      <c r="AD45" s="1">
        <v>0.76315789473684204</v>
      </c>
      <c r="AE45" s="1">
        <v>0.54098360655737698</v>
      </c>
      <c r="AF45" s="1">
        <v>0.75728155339805803</v>
      </c>
      <c r="AG45" s="6" t="s">
        <v>429</v>
      </c>
      <c r="AH45" s="1">
        <v>0.57255616272009702</v>
      </c>
      <c r="AI45">
        <v>0.01</v>
      </c>
      <c r="AJ45" s="1">
        <v>0.365970149253731</v>
      </c>
      <c r="AK45">
        <v>0</v>
      </c>
      <c r="AL45" s="1">
        <v>0.58585858585858497</v>
      </c>
      <c r="AM45" s="1">
        <v>0.414225941422594</v>
      </c>
      <c r="AN45" s="1">
        <v>0.658227848101265</v>
      </c>
      <c r="AO45">
        <v>5.4264000000000001</v>
      </c>
      <c r="AP45">
        <v>280.11099999999999</v>
      </c>
      <c r="AQ45">
        <v>17.507000000000001</v>
      </c>
    </row>
    <row r="46" spans="1:43" x14ac:dyDescent="0.45">
      <c r="A46">
        <v>43</v>
      </c>
      <c r="B46" t="s">
        <v>442</v>
      </c>
      <c r="C46" t="s">
        <v>397</v>
      </c>
      <c r="D46" t="s">
        <v>398</v>
      </c>
      <c r="E46" s="1" t="s">
        <v>84</v>
      </c>
      <c r="F46">
        <v>0.01</v>
      </c>
      <c r="G46">
        <v>16</v>
      </c>
      <c r="H46">
        <v>8</v>
      </c>
      <c r="I46">
        <v>2</v>
      </c>
      <c r="J46">
        <v>400</v>
      </c>
      <c r="K46">
        <v>400</v>
      </c>
      <c r="L46" s="1" t="s">
        <v>443</v>
      </c>
      <c r="M46" t="s">
        <v>630</v>
      </c>
      <c r="N46">
        <v>2000</v>
      </c>
      <c r="O46" t="s">
        <v>46</v>
      </c>
      <c r="P46" s="1" t="s">
        <v>444</v>
      </c>
      <c r="Q46" s="3">
        <v>0.47578425976884903</v>
      </c>
      <c r="R46" s="1" t="s">
        <v>445</v>
      </c>
      <c r="S46" s="1" t="s">
        <v>446</v>
      </c>
      <c r="T46" s="1" t="s">
        <v>447</v>
      </c>
      <c r="U46">
        <v>0.339622641509434</v>
      </c>
      <c r="V46" s="1" t="s">
        <v>448</v>
      </c>
      <c r="W46" s="1" t="s">
        <v>449</v>
      </c>
      <c r="X46">
        <v>0.59640102827763497</v>
      </c>
      <c r="Y46" s="6" t="s">
        <v>450</v>
      </c>
      <c r="Z46" s="1">
        <v>0.50331925165962499</v>
      </c>
      <c r="AA46" s="1">
        <v>0.40588235294117597</v>
      </c>
      <c r="AB46" s="1">
        <v>0.39910979228486598</v>
      </c>
      <c r="AC46" s="1">
        <v>0.40909090909090901</v>
      </c>
      <c r="AD46" s="1">
        <v>0.65413533834586401</v>
      </c>
      <c r="AE46" s="1">
        <v>0.510067114093959</v>
      </c>
      <c r="AF46" s="1">
        <v>0.56585365853658498</v>
      </c>
      <c r="AG46" s="5">
        <v>0.482421875</v>
      </c>
      <c r="AH46" s="1">
        <v>0.57201646090534897</v>
      </c>
      <c r="AI46" s="1">
        <v>0.25939849624060102</v>
      </c>
      <c r="AJ46" s="1">
        <v>0.39184268026219898</v>
      </c>
      <c r="AK46" s="1">
        <v>0.29032258064516098</v>
      </c>
      <c r="AL46" s="1">
        <v>0.78378378378378299</v>
      </c>
      <c r="AM46" s="1">
        <v>0.47204968944099301</v>
      </c>
      <c r="AN46" s="1">
        <v>0.63043478260869501</v>
      </c>
      <c r="AO46">
        <v>6.3764000000000003</v>
      </c>
      <c r="AP46">
        <v>284.80200000000002</v>
      </c>
      <c r="AQ46">
        <v>17.879000000000001</v>
      </c>
    </row>
    <row r="47" spans="1:43" x14ac:dyDescent="0.45">
      <c r="A47">
        <v>43</v>
      </c>
      <c r="B47" t="s">
        <v>442</v>
      </c>
      <c r="C47" t="s">
        <v>397</v>
      </c>
      <c r="D47" t="s">
        <v>398</v>
      </c>
      <c r="E47" s="1" t="s">
        <v>84</v>
      </c>
      <c r="F47">
        <v>0.01</v>
      </c>
      <c r="G47">
        <v>16</v>
      </c>
      <c r="H47">
        <v>8</v>
      </c>
      <c r="I47">
        <v>2</v>
      </c>
      <c r="J47">
        <v>400</v>
      </c>
      <c r="K47">
        <v>400</v>
      </c>
      <c r="L47" s="1" t="s">
        <v>443</v>
      </c>
      <c r="M47" t="s">
        <v>630</v>
      </c>
      <c r="N47">
        <v>2000</v>
      </c>
      <c r="O47" t="s">
        <v>64</v>
      </c>
      <c r="P47" s="1" t="s">
        <v>460</v>
      </c>
      <c r="Q47" s="3">
        <v>0.53006074129168201</v>
      </c>
      <c r="R47">
        <v>0.60629226698030003</v>
      </c>
      <c r="S47" s="1" t="s">
        <v>461</v>
      </c>
      <c r="T47">
        <v>0.43274111675126897</v>
      </c>
      <c r="U47" s="1" t="s">
        <v>462</v>
      </c>
      <c r="V47" s="1" t="s">
        <v>463</v>
      </c>
      <c r="W47" s="1" t="s">
        <v>464</v>
      </c>
      <c r="X47">
        <v>0.72340425531914898</v>
      </c>
      <c r="Y47" s="6" t="s">
        <v>465</v>
      </c>
      <c r="Z47" s="1">
        <v>0.58779931584948597</v>
      </c>
      <c r="AA47">
        <v>0.419047619047619</v>
      </c>
      <c r="AB47" s="1">
        <v>0.46174678402166502</v>
      </c>
      <c r="AC47" s="1">
        <v>0.67391304347825998</v>
      </c>
      <c r="AD47" s="1">
        <v>0.69662921348314599</v>
      </c>
      <c r="AE47" s="1">
        <v>0.62433862433862397</v>
      </c>
      <c r="AF47" s="1">
        <v>0.72961373390557904</v>
      </c>
      <c r="AG47" s="6" t="s">
        <v>467</v>
      </c>
      <c r="AH47" s="1">
        <v>0.62598664238008495</v>
      </c>
      <c r="AI47">
        <v>0.22</v>
      </c>
      <c r="AJ47" s="1">
        <v>0.407164179104477</v>
      </c>
      <c r="AK47" s="1">
        <v>0.40259740259740201</v>
      </c>
      <c r="AL47" s="1">
        <v>0.62626262626262597</v>
      </c>
      <c r="AM47" s="1">
        <v>0.493723849372384</v>
      </c>
      <c r="AN47" s="1">
        <v>0.71729957805907096</v>
      </c>
      <c r="AO47">
        <v>5.2723000000000004</v>
      </c>
      <c r="AP47">
        <v>288.29899999999998</v>
      </c>
      <c r="AQ47">
        <v>18.018999999999998</v>
      </c>
    </row>
    <row r="48" spans="1:43" x14ac:dyDescent="0.45">
      <c r="A48">
        <v>43</v>
      </c>
      <c r="B48" t="s">
        <v>482</v>
      </c>
      <c r="C48" t="s">
        <v>397</v>
      </c>
      <c r="D48" t="s">
        <v>398</v>
      </c>
      <c r="E48" s="1" t="s">
        <v>125</v>
      </c>
      <c r="F48">
        <v>0.01</v>
      </c>
      <c r="G48">
        <v>16</v>
      </c>
      <c r="H48">
        <v>8</v>
      </c>
      <c r="I48">
        <v>2</v>
      </c>
      <c r="J48">
        <v>400</v>
      </c>
      <c r="K48">
        <v>400</v>
      </c>
      <c r="L48" s="1" t="s">
        <v>483</v>
      </c>
      <c r="M48" t="s">
        <v>630</v>
      </c>
      <c r="N48">
        <v>2000</v>
      </c>
      <c r="O48" t="s">
        <v>46</v>
      </c>
      <c r="P48" s="1" t="s">
        <v>484</v>
      </c>
      <c r="Q48" s="2">
        <v>0.49585654123081102</v>
      </c>
      <c r="R48" s="1" t="s">
        <v>485</v>
      </c>
      <c r="S48" s="1" t="s">
        <v>486</v>
      </c>
      <c r="T48" s="1" t="s">
        <v>487</v>
      </c>
      <c r="U48" s="1" t="s">
        <v>488</v>
      </c>
      <c r="V48" s="1" t="s">
        <v>329</v>
      </c>
      <c r="W48">
        <v>0.5</v>
      </c>
      <c r="X48" s="1" t="s">
        <v>489</v>
      </c>
      <c r="Y48" s="6" t="s">
        <v>490</v>
      </c>
      <c r="Z48" s="1">
        <v>0.51800720288115198</v>
      </c>
      <c r="AA48" s="1">
        <v>0.40659340659340598</v>
      </c>
      <c r="AB48" s="1">
        <v>0.418259023354564</v>
      </c>
      <c r="AC48">
        <v>0.4</v>
      </c>
      <c r="AD48" s="1">
        <v>0.65925925925925899</v>
      </c>
      <c r="AE48" s="1">
        <v>0.52380952380952295</v>
      </c>
      <c r="AF48" s="1">
        <v>0.58333333333333304</v>
      </c>
      <c r="AG48" s="6" t="s">
        <v>492</v>
      </c>
      <c r="AH48" s="1">
        <v>0.59190672153635104</v>
      </c>
      <c r="AI48" s="1">
        <v>0.278195488721804</v>
      </c>
      <c r="AJ48" s="1">
        <v>0.43044428259286199</v>
      </c>
      <c r="AK48" s="1">
        <v>0.38709677419354799</v>
      </c>
      <c r="AL48" s="1">
        <v>0.80180180180180105</v>
      </c>
      <c r="AM48" s="1">
        <v>0.47826086956521702</v>
      </c>
      <c r="AN48" s="1">
        <v>0.64673913043478204</v>
      </c>
      <c r="AO48">
        <v>5.9344999999999999</v>
      </c>
      <c r="AP48">
        <v>306.00700000000001</v>
      </c>
      <c r="AQ48">
        <v>19.21</v>
      </c>
    </row>
    <row r="49" spans="1:43" x14ac:dyDescent="0.45">
      <c r="A49">
        <v>43</v>
      </c>
      <c r="B49" t="s">
        <v>482</v>
      </c>
      <c r="C49" t="s">
        <v>397</v>
      </c>
      <c r="D49" t="s">
        <v>398</v>
      </c>
      <c r="E49" s="1" t="s">
        <v>125</v>
      </c>
      <c r="F49">
        <v>0.01</v>
      </c>
      <c r="G49">
        <v>16</v>
      </c>
      <c r="H49">
        <v>8</v>
      </c>
      <c r="I49">
        <v>2</v>
      </c>
      <c r="J49">
        <v>400</v>
      </c>
      <c r="K49">
        <v>400</v>
      </c>
      <c r="L49" s="1" t="s">
        <v>483</v>
      </c>
      <c r="M49" t="s">
        <v>630</v>
      </c>
      <c r="N49">
        <v>2000</v>
      </c>
      <c r="O49" t="s">
        <v>64</v>
      </c>
      <c r="P49" s="1" t="s">
        <v>503</v>
      </c>
      <c r="Q49" s="3">
        <v>0.53521126760563298</v>
      </c>
      <c r="R49" s="1" t="s">
        <v>504</v>
      </c>
      <c r="S49" s="1" t="s">
        <v>505</v>
      </c>
      <c r="T49" s="1" t="s">
        <v>506</v>
      </c>
      <c r="U49" s="1" t="s">
        <v>507</v>
      </c>
      <c r="V49" s="1" t="s">
        <v>508</v>
      </c>
      <c r="W49" s="1" t="s">
        <v>509</v>
      </c>
      <c r="X49" s="1" t="s">
        <v>466</v>
      </c>
      <c r="Y49" s="6" t="s">
        <v>510</v>
      </c>
      <c r="Z49">
        <v>0.59813628421665699</v>
      </c>
      <c r="AA49" s="1">
        <v>0.429824561403508</v>
      </c>
      <c r="AB49" s="1">
        <v>0.45549738219895203</v>
      </c>
      <c r="AC49" s="1">
        <v>0.66666666666666596</v>
      </c>
      <c r="AD49" s="1">
        <v>0.70833333333333304</v>
      </c>
      <c r="AE49" s="1">
        <v>0.65945945945945905</v>
      </c>
      <c r="AF49">
        <v>0.74235807860262004</v>
      </c>
      <c r="AG49" s="5">
        <v>0.51892668902731198</v>
      </c>
      <c r="AH49" s="1">
        <v>0.62355798421372099</v>
      </c>
      <c r="AI49">
        <v>0.245</v>
      </c>
      <c r="AJ49" s="1">
        <v>0.41552238805970099</v>
      </c>
      <c r="AK49" s="1">
        <v>0.44155844155844098</v>
      </c>
      <c r="AL49" s="1">
        <v>0.68686868686868596</v>
      </c>
      <c r="AM49" s="1">
        <v>0.51046025104602499</v>
      </c>
      <c r="AN49" s="1">
        <v>0.71729957805907096</v>
      </c>
      <c r="AO49">
        <v>5.5452000000000004</v>
      </c>
      <c r="AP49">
        <v>274.113</v>
      </c>
      <c r="AQ49">
        <v>17.132000000000001</v>
      </c>
    </row>
    <row r="50" spans="1:43" s="5" customFormat="1" x14ac:dyDescent="0.45">
      <c r="A50" s="5">
        <v>42</v>
      </c>
      <c r="B50" s="5" t="s">
        <v>511</v>
      </c>
      <c r="C50" s="5" t="s">
        <v>512</v>
      </c>
      <c r="D50" s="5" t="s">
        <v>513</v>
      </c>
      <c r="E50" s="6" t="s">
        <v>45</v>
      </c>
      <c r="F50" s="5">
        <v>0.01</v>
      </c>
      <c r="G50" s="5">
        <v>16</v>
      </c>
      <c r="H50" s="5">
        <v>8</v>
      </c>
      <c r="I50" s="5">
        <v>2</v>
      </c>
      <c r="J50" s="5">
        <v>400</v>
      </c>
      <c r="K50" s="5">
        <v>400</v>
      </c>
      <c r="L50" s="6" t="s">
        <v>514</v>
      </c>
      <c r="M50" s="5" t="s">
        <v>628</v>
      </c>
      <c r="N50" s="5">
        <v>2000</v>
      </c>
      <c r="O50" s="5" t="s">
        <v>46</v>
      </c>
      <c r="P50" s="6" t="s">
        <v>515</v>
      </c>
      <c r="Q50" s="7">
        <v>0.46927207637231499</v>
      </c>
      <c r="R50" s="6" t="s">
        <v>516</v>
      </c>
      <c r="S50" s="6" t="s">
        <v>517</v>
      </c>
      <c r="T50" s="5">
        <v>0.36806148590947901</v>
      </c>
      <c r="U50" s="6" t="s">
        <v>475</v>
      </c>
      <c r="V50" s="6" t="s">
        <v>518</v>
      </c>
      <c r="W50" s="6" t="s">
        <v>519</v>
      </c>
      <c r="X50" s="5">
        <v>0.61581920903954801</v>
      </c>
      <c r="Y50" s="6" t="s">
        <v>520</v>
      </c>
      <c r="Z50" s="6">
        <v>0.51750477402927997</v>
      </c>
      <c r="AA50" s="6">
        <v>0.40157480314960597</v>
      </c>
      <c r="AB50" s="6">
        <v>0.44478844169246601</v>
      </c>
      <c r="AC50" s="6">
        <v>0.39285714285714202</v>
      </c>
      <c r="AD50" s="6">
        <v>0.707317073170731</v>
      </c>
      <c r="AE50" s="6">
        <v>0.53787878787878696</v>
      </c>
      <c r="AF50" s="6">
        <v>0.64117647058823501</v>
      </c>
      <c r="AG50" s="6">
        <v>0.43889508928571402</v>
      </c>
      <c r="AH50" s="6">
        <v>0.55761316872427902</v>
      </c>
      <c r="AI50" s="6">
        <v>0.19172932330827</v>
      </c>
      <c r="AJ50" s="6">
        <v>0.31391114348142701</v>
      </c>
      <c r="AK50" s="6">
        <v>0.35483870967741898</v>
      </c>
      <c r="AL50" s="6">
        <v>0.78378378378378299</v>
      </c>
      <c r="AM50" s="6">
        <v>0.440993788819875</v>
      </c>
      <c r="AN50" s="5">
        <v>0.59239130434782605</v>
      </c>
      <c r="AO50" s="5">
        <v>9.6757000000000009</v>
      </c>
      <c r="AP50" s="5">
        <v>187.68700000000001</v>
      </c>
      <c r="AQ50" s="5">
        <v>11.782</v>
      </c>
    </row>
    <row r="51" spans="1:43" s="5" customFormat="1" x14ac:dyDescent="0.45">
      <c r="A51" s="5">
        <v>42</v>
      </c>
      <c r="B51" s="5" t="s">
        <v>521</v>
      </c>
      <c r="C51" s="5" t="s">
        <v>512</v>
      </c>
      <c r="D51" s="5" t="s">
        <v>513</v>
      </c>
      <c r="E51" s="6" t="s">
        <v>45</v>
      </c>
      <c r="F51" s="5">
        <v>0.01</v>
      </c>
      <c r="G51" s="5">
        <v>16</v>
      </c>
      <c r="H51" s="5">
        <v>8</v>
      </c>
      <c r="I51" s="5">
        <v>2</v>
      </c>
      <c r="J51" s="5">
        <v>400</v>
      </c>
      <c r="K51" s="5">
        <v>400</v>
      </c>
      <c r="L51" s="6" t="s">
        <v>522</v>
      </c>
      <c r="M51" s="5" t="s">
        <v>629</v>
      </c>
      <c r="N51" s="5">
        <v>2000</v>
      </c>
      <c r="O51" s="5" t="s">
        <v>46</v>
      </c>
      <c r="P51" s="6" t="s">
        <v>523</v>
      </c>
      <c r="Q51" s="8">
        <v>0.47374737473747303</v>
      </c>
      <c r="R51" s="6" t="s">
        <v>524</v>
      </c>
      <c r="S51" s="5">
        <v>0.28287841191066998</v>
      </c>
      <c r="T51" s="5">
        <v>0.37732656514382401</v>
      </c>
      <c r="U51" s="6" t="s">
        <v>525</v>
      </c>
      <c r="V51" s="6" t="s">
        <v>526</v>
      </c>
      <c r="W51" s="6" t="s">
        <v>527</v>
      </c>
      <c r="X51" s="6" t="s">
        <v>528</v>
      </c>
      <c r="Y51" s="6" t="s">
        <v>529</v>
      </c>
      <c r="Z51" s="6">
        <v>0.53360215053763405</v>
      </c>
      <c r="AA51" s="6">
        <v>0.41605839416058299</v>
      </c>
      <c r="AB51" s="5">
        <v>0.45005045408678102</v>
      </c>
      <c r="AC51" s="6">
        <v>0.42307692307692302</v>
      </c>
      <c r="AD51" s="6">
        <v>0.70967741935483797</v>
      </c>
      <c r="AE51" s="6">
        <v>0.54014598540145897</v>
      </c>
      <c r="AF51" s="6">
        <v>0.60893854748603304</v>
      </c>
      <c r="AG51" s="6">
        <v>0.44056919642857101</v>
      </c>
      <c r="AH51" s="6">
        <v>0.54458161865569199</v>
      </c>
      <c r="AI51" s="6">
        <v>0.214285714285714</v>
      </c>
      <c r="AJ51" s="6">
        <v>0.324836125273124</v>
      </c>
      <c r="AK51" s="6">
        <v>0.35483870967741898</v>
      </c>
      <c r="AL51" s="6">
        <v>0.79279279279279202</v>
      </c>
      <c r="AM51" s="6">
        <v>0.45962732919254601</v>
      </c>
      <c r="AN51" s="5">
        <v>0.59239130434782605</v>
      </c>
      <c r="AO51" s="5">
        <v>9.3495000000000008</v>
      </c>
      <c r="AP51" s="5">
        <v>194.23400000000001</v>
      </c>
      <c r="AQ51" s="5">
        <v>12.193</v>
      </c>
    </row>
    <row r="52" spans="1:43" s="5" customFormat="1" x14ac:dyDescent="0.45">
      <c r="A52" s="5">
        <v>42</v>
      </c>
      <c r="B52" s="5" t="s">
        <v>511</v>
      </c>
      <c r="C52" s="5" t="s">
        <v>512</v>
      </c>
      <c r="D52" s="5" t="s">
        <v>513</v>
      </c>
      <c r="E52" s="6" t="s">
        <v>45</v>
      </c>
      <c r="F52" s="5">
        <v>0.01</v>
      </c>
      <c r="G52" s="5">
        <v>16</v>
      </c>
      <c r="H52" s="5">
        <v>8</v>
      </c>
      <c r="I52" s="5">
        <v>2</v>
      </c>
      <c r="J52" s="5">
        <v>400</v>
      </c>
      <c r="K52" s="5">
        <v>400</v>
      </c>
      <c r="L52" s="6" t="s">
        <v>514</v>
      </c>
      <c r="M52" s="5" t="s">
        <v>628</v>
      </c>
      <c r="N52" s="5">
        <v>2000</v>
      </c>
      <c r="O52" s="5" t="s">
        <v>64</v>
      </c>
      <c r="P52" s="6" t="s">
        <v>539</v>
      </c>
      <c r="Q52" s="8">
        <v>0.519433251007409</v>
      </c>
      <c r="R52" s="6" t="s">
        <v>540</v>
      </c>
      <c r="S52" s="6" t="s">
        <v>541</v>
      </c>
      <c r="T52" s="6" t="s">
        <v>542</v>
      </c>
      <c r="U52" s="6" t="s">
        <v>543</v>
      </c>
      <c r="V52" s="6" t="s">
        <v>544</v>
      </c>
      <c r="W52" s="6" t="s">
        <v>545</v>
      </c>
      <c r="X52" s="5">
        <v>0.71396895787139703</v>
      </c>
      <c r="Y52" s="6" t="s">
        <v>546</v>
      </c>
      <c r="Z52" s="6">
        <v>0.586080586080586</v>
      </c>
      <c r="AA52" s="6">
        <v>0.43181818181818099</v>
      </c>
      <c r="AB52" s="6">
        <v>0.49003984063744999</v>
      </c>
      <c r="AC52" s="6">
        <v>0.62903225806451601</v>
      </c>
      <c r="AD52" s="6">
        <v>0.73809523809523803</v>
      </c>
      <c r="AE52" s="6">
        <v>0.69101123595505598</v>
      </c>
      <c r="AF52" s="6">
        <v>0.75233644859812998</v>
      </c>
      <c r="AG52" s="6">
        <v>0.478677527551509</v>
      </c>
      <c r="AH52" s="6">
        <v>0.58287795992713998</v>
      </c>
      <c r="AI52" s="5">
        <v>0.19</v>
      </c>
      <c r="AJ52" s="6">
        <v>0.36716417910447702</v>
      </c>
      <c r="AK52" s="6">
        <v>0.506493506493506</v>
      </c>
      <c r="AL52" s="6">
        <v>0.62626262626262597</v>
      </c>
      <c r="AM52" s="6">
        <v>0.51464435146443499</v>
      </c>
      <c r="AN52" s="5">
        <v>0.67932489451476796</v>
      </c>
      <c r="AO52" s="5">
        <v>8.3201999999999998</v>
      </c>
      <c r="AP52" s="5">
        <v>182.68700000000001</v>
      </c>
      <c r="AQ52" s="5">
        <v>11.417999999999999</v>
      </c>
    </row>
    <row r="53" spans="1:43" s="5" customFormat="1" x14ac:dyDescent="0.45">
      <c r="A53" s="5">
        <v>42</v>
      </c>
      <c r="B53" s="5" t="s">
        <v>521</v>
      </c>
      <c r="C53" s="5" t="s">
        <v>512</v>
      </c>
      <c r="D53" s="5" t="s">
        <v>513</v>
      </c>
      <c r="E53" s="6" t="s">
        <v>45</v>
      </c>
      <c r="F53" s="5">
        <v>0.01</v>
      </c>
      <c r="G53" s="5">
        <v>16</v>
      </c>
      <c r="H53" s="5">
        <v>8</v>
      </c>
      <c r="I53" s="5">
        <v>2</v>
      </c>
      <c r="J53" s="5">
        <v>400</v>
      </c>
      <c r="K53" s="5">
        <v>400</v>
      </c>
      <c r="L53" s="6" t="s">
        <v>522</v>
      </c>
      <c r="M53" s="5" t="s">
        <v>629</v>
      </c>
      <c r="N53" s="5">
        <v>2000</v>
      </c>
      <c r="O53" s="5" t="s">
        <v>64</v>
      </c>
      <c r="P53" s="6" t="s">
        <v>547</v>
      </c>
      <c r="Q53" s="8">
        <v>0.51430070847546505</v>
      </c>
      <c r="R53" s="6" t="s">
        <v>548</v>
      </c>
      <c r="S53" s="6" t="s">
        <v>549</v>
      </c>
      <c r="T53" s="6" t="s">
        <v>550</v>
      </c>
      <c r="U53" s="6" t="s">
        <v>551</v>
      </c>
      <c r="V53" s="6" t="s">
        <v>552</v>
      </c>
      <c r="W53" s="6" t="s">
        <v>553</v>
      </c>
      <c r="X53" s="6" t="s">
        <v>554</v>
      </c>
      <c r="Y53" s="5">
        <v>0.56844547563805103</v>
      </c>
      <c r="Z53" s="6">
        <v>0.58653846153846101</v>
      </c>
      <c r="AA53" s="6">
        <v>0.41379310344827502</v>
      </c>
      <c r="AB53" s="6">
        <v>0.49086576648133401</v>
      </c>
      <c r="AC53" s="6">
        <v>0.63793103448275801</v>
      </c>
      <c r="AD53" s="6">
        <v>0.74698795180722799</v>
      </c>
      <c r="AE53" s="6">
        <v>0.72928176795580102</v>
      </c>
      <c r="AF53" s="6">
        <v>0.72727272727272696</v>
      </c>
      <c r="AG53" s="6">
        <v>0.46957355055103001</v>
      </c>
      <c r="AH53" s="6">
        <v>0.55555555555555503</v>
      </c>
      <c r="AI53" s="5">
        <v>0.18</v>
      </c>
      <c r="AJ53" s="5">
        <v>0.36895522388059698</v>
      </c>
      <c r="AK53" s="6">
        <v>0.48051948051948001</v>
      </c>
      <c r="AL53" s="6">
        <v>0.62626262626262597</v>
      </c>
      <c r="AM53" s="6">
        <v>0.55230125523012497</v>
      </c>
      <c r="AN53" s="6">
        <v>0.67510548523206704</v>
      </c>
      <c r="AO53" s="5">
        <v>8.0603999999999996</v>
      </c>
      <c r="AP53" s="5">
        <v>188.57599999999999</v>
      </c>
      <c r="AQ53" s="5">
        <v>11.786</v>
      </c>
    </row>
    <row r="54" spans="1:43" s="5" customFormat="1" x14ac:dyDescent="0.45">
      <c r="A54" s="5">
        <v>42</v>
      </c>
      <c r="B54" s="5" t="s">
        <v>564</v>
      </c>
      <c r="C54" s="5" t="s">
        <v>512</v>
      </c>
      <c r="D54" s="5" t="s">
        <v>513</v>
      </c>
      <c r="E54" s="6" t="s">
        <v>84</v>
      </c>
      <c r="F54" s="5">
        <v>0.01</v>
      </c>
      <c r="G54" s="5">
        <v>16</v>
      </c>
      <c r="H54" s="5">
        <v>8</v>
      </c>
      <c r="I54" s="5">
        <v>2</v>
      </c>
      <c r="J54" s="5">
        <v>400</v>
      </c>
      <c r="K54" s="5">
        <v>400</v>
      </c>
      <c r="L54" s="6" t="s">
        <v>565</v>
      </c>
      <c r="M54" s="5" t="s">
        <v>629</v>
      </c>
      <c r="N54" s="5">
        <v>2000</v>
      </c>
      <c r="O54" s="5" t="s">
        <v>46</v>
      </c>
      <c r="P54" s="6" t="s">
        <v>566</v>
      </c>
      <c r="Q54" s="8">
        <v>0.50123492663082903</v>
      </c>
      <c r="R54" s="5">
        <v>0.56413746172167401</v>
      </c>
      <c r="S54" s="6" t="s">
        <v>567</v>
      </c>
      <c r="T54" s="6" t="s">
        <v>568</v>
      </c>
      <c r="U54" s="6" t="s">
        <v>101</v>
      </c>
      <c r="V54" s="6" t="s">
        <v>326</v>
      </c>
      <c r="W54" s="6" t="s">
        <v>569</v>
      </c>
      <c r="X54" s="6" t="s">
        <v>570</v>
      </c>
      <c r="Y54" s="6" t="s">
        <v>571</v>
      </c>
      <c r="Z54" s="6">
        <v>0.55975692099932395</v>
      </c>
      <c r="AA54" s="6">
        <v>0.439024390243902</v>
      </c>
      <c r="AB54" s="6">
        <v>0.45284621920135898</v>
      </c>
      <c r="AC54" s="6">
        <v>0.44444444444444398</v>
      </c>
      <c r="AD54" s="6">
        <v>0.723577235772357</v>
      </c>
      <c r="AE54" s="6">
        <v>0.56164383561643805</v>
      </c>
      <c r="AF54" s="6">
        <v>0.59668508287292799</v>
      </c>
      <c r="AG54" s="6">
        <v>0.48130580357142799</v>
      </c>
      <c r="AH54" s="6">
        <v>0.56858710562414205</v>
      </c>
      <c r="AI54" s="6">
        <v>0.27067669172932302</v>
      </c>
      <c r="AJ54" s="6">
        <v>0.38820101966496701</v>
      </c>
      <c r="AK54" s="6">
        <v>0.38709677419354799</v>
      </c>
      <c r="AL54" s="6">
        <v>0.80180180180180105</v>
      </c>
      <c r="AM54" s="6">
        <v>0.50931677018633503</v>
      </c>
      <c r="AN54" s="6">
        <v>0.58695652173913004</v>
      </c>
      <c r="AO54" s="5">
        <v>9.1692</v>
      </c>
      <c r="AP54" s="5">
        <v>198.05500000000001</v>
      </c>
      <c r="AQ54" s="5">
        <v>12.433</v>
      </c>
    </row>
    <row r="55" spans="1:43" s="5" customFormat="1" x14ac:dyDescent="0.45">
      <c r="A55" s="5">
        <v>42</v>
      </c>
      <c r="B55" s="5" t="s">
        <v>564</v>
      </c>
      <c r="C55" s="5" t="s">
        <v>512</v>
      </c>
      <c r="D55" s="5" t="s">
        <v>513</v>
      </c>
      <c r="E55" s="6" t="s">
        <v>84</v>
      </c>
      <c r="F55" s="5">
        <v>0.01</v>
      </c>
      <c r="G55" s="5">
        <v>16</v>
      </c>
      <c r="H55" s="5">
        <v>8</v>
      </c>
      <c r="I55" s="5">
        <v>2</v>
      </c>
      <c r="J55" s="5">
        <v>400</v>
      </c>
      <c r="K55" s="5">
        <v>400</v>
      </c>
      <c r="L55" s="6" t="s">
        <v>565</v>
      </c>
      <c r="M55" s="5" t="s">
        <v>629</v>
      </c>
      <c r="N55" s="5">
        <v>2000</v>
      </c>
      <c r="O55" s="5" t="s">
        <v>64</v>
      </c>
      <c r="P55" s="6" t="s">
        <v>581</v>
      </c>
      <c r="Q55" s="8">
        <v>0.54267125908916902</v>
      </c>
      <c r="R55" s="6" t="s">
        <v>582</v>
      </c>
      <c r="S55" s="6" t="s">
        <v>583</v>
      </c>
      <c r="T55" s="6" t="s">
        <v>584</v>
      </c>
      <c r="U55" s="6" t="s">
        <v>585</v>
      </c>
      <c r="V55" s="5">
        <v>0.72131147540983598</v>
      </c>
      <c r="W55" s="6" t="s">
        <v>586</v>
      </c>
      <c r="X55" s="6" t="s">
        <v>587</v>
      </c>
      <c r="Y55" s="6" t="s">
        <v>588</v>
      </c>
      <c r="Z55" s="6">
        <v>0.61454311454311406</v>
      </c>
      <c r="AA55" s="6">
        <v>0.54545454545454497</v>
      </c>
      <c r="AB55" s="6">
        <v>0.48450704225352098</v>
      </c>
      <c r="AC55" s="6">
        <v>0.57971014492753603</v>
      </c>
      <c r="AD55" s="6">
        <v>0.78571428571428503</v>
      </c>
      <c r="AE55" s="6">
        <v>0.73891625615763501</v>
      </c>
      <c r="AF55" s="6">
        <v>0.73728813559322004</v>
      </c>
      <c r="AG55" s="6">
        <v>0.50958313368471397</v>
      </c>
      <c r="AH55" s="6">
        <v>0.57984213721918598</v>
      </c>
      <c r="AI55" s="5">
        <v>0.27</v>
      </c>
      <c r="AJ55" s="6">
        <v>0.41074626865671598</v>
      </c>
      <c r="AK55" s="6">
        <v>0.51948051948051899</v>
      </c>
      <c r="AL55" s="6">
        <v>0.66666666666666596</v>
      </c>
      <c r="AM55" s="6">
        <v>0.62761506276150603</v>
      </c>
      <c r="AN55" s="6">
        <v>0.734177215189873</v>
      </c>
      <c r="AO55" s="5">
        <v>8.2208000000000006</v>
      </c>
      <c r="AP55" s="5">
        <v>184.89699999999999</v>
      </c>
      <c r="AQ55" s="5">
        <v>11.555999999999999</v>
      </c>
    </row>
    <row r="56" spans="1:43" s="5" customFormat="1" x14ac:dyDescent="0.45">
      <c r="A56" s="5">
        <v>42</v>
      </c>
      <c r="B56" s="5" t="s">
        <v>596</v>
      </c>
      <c r="C56" s="5" t="s">
        <v>512</v>
      </c>
      <c r="D56" s="5" t="s">
        <v>513</v>
      </c>
      <c r="E56" s="6" t="s">
        <v>125</v>
      </c>
      <c r="F56" s="5">
        <v>0.01</v>
      </c>
      <c r="G56" s="5">
        <v>16</v>
      </c>
      <c r="H56" s="5">
        <v>8</v>
      </c>
      <c r="I56" s="5">
        <v>2</v>
      </c>
      <c r="J56" s="5">
        <v>400</v>
      </c>
      <c r="K56" s="5">
        <v>400</v>
      </c>
      <c r="L56" s="6" t="s">
        <v>597</v>
      </c>
      <c r="M56" s="5" t="s">
        <v>629</v>
      </c>
      <c r="N56" s="5">
        <v>2000</v>
      </c>
      <c r="O56" s="5" t="s">
        <v>46</v>
      </c>
      <c r="P56" s="6" t="s">
        <v>598</v>
      </c>
      <c r="Q56" s="8">
        <v>0.52613489904052602</v>
      </c>
      <c r="R56" s="6" t="s">
        <v>599</v>
      </c>
      <c r="S56" s="5">
        <v>0.36</v>
      </c>
      <c r="T56" s="5">
        <v>0.45378151260504201</v>
      </c>
      <c r="U56" s="6" t="s">
        <v>130</v>
      </c>
      <c r="V56" s="6" t="s">
        <v>600</v>
      </c>
      <c r="W56" s="6" t="s">
        <v>601</v>
      </c>
      <c r="X56" s="6" t="s">
        <v>602</v>
      </c>
      <c r="Y56" s="5">
        <v>0.54045307443365698</v>
      </c>
      <c r="Z56" s="6">
        <v>0.57591973244147099</v>
      </c>
      <c r="AA56" s="6">
        <v>0.44021739130434701</v>
      </c>
      <c r="AB56" s="6">
        <v>0.477108433734939</v>
      </c>
      <c r="AC56" s="6">
        <v>0.46153846153846101</v>
      </c>
      <c r="AD56" s="6">
        <v>0.70634920634920595</v>
      </c>
      <c r="AE56" s="6">
        <v>0.59333333333333305</v>
      </c>
      <c r="AF56" s="6">
        <v>0.64161849710982599</v>
      </c>
      <c r="AG56" s="6">
        <v>0.51255580357142805</v>
      </c>
      <c r="AH56" s="6">
        <v>0.59053497942386801</v>
      </c>
      <c r="AI56" s="6">
        <v>0.30451127819548801</v>
      </c>
      <c r="AJ56" s="6">
        <v>0.43262927895120101</v>
      </c>
      <c r="AK56" s="6">
        <v>0.38709677419354799</v>
      </c>
      <c r="AL56" s="6">
        <v>0.80180180180180105</v>
      </c>
      <c r="AM56" s="6">
        <v>0.5527950310559</v>
      </c>
      <c r="AN56" s="6">
        <v>0.60326086956521696</v>
      </c>
      <c r="AO56" s="5">
        <v>9.0181000000000004</v>
      </c>
      <c r="AP56" s="5">
        <v>201.37200000000001</v>
      </c>
      <c r="AQ56" s="5">
        <v>12.641</v>
      </c>
    </row>
    <row r="57" spans="1:43" s="5" customFormat="1" x14ac:dyDescent="0.45">
      <c r="A57" s="5">
        <v>42</v>
      </c>
      <c r="B57" s="5" t="s">
        <v>596</v>
      </c>
      <c r="C57" s="5" t="s">
        <v>512</v>
      </c>
      <c r="D57" s="5" t="s">
        <v>513</v>
      </c>
      <c r="E57" s="6" t="s">
        <v>125</v>
      </c>
      <c r="F57" s="5">
        <v>0.01</v>
      </c>
      <c r="G57" s="5">
        <v>16</v>
      </c>
      <c r="H57" s="5">
        <v>8</v>
      </c>
      <c r="I57" s="5">
        <v>2</v>
      </c>
      <c r="J57" s="5">
        <v>400</v>
      </c>
      <c r="K57" s="5">
        <v>400</v>
      </c>
      <c r="L57" s="6" t="s">
        <v>597</v>
      </c>
      <c r="M57" s="5" t="s">
        <v>629</v>
      </c>
      <c r="N57" s="5">
        <v>2000</v>
      </c>
      <c r="O57" s="5" t="s">
        <v>64</v>
      </c>
      <c r="P57" s="6" t="s">
        <v>610</v>
      </c>
      <c r="Q57" s="8">
        <v>0.55424409844299305</v>
      </c>
      <c r="R57" s="6" t="s">
        <v>611</v>
      </c>
      <c r="S57" s="6" t="s">
        <v>612</v>
      </c>
      <c r="T57" s="6" t="s">
        <v>613</v>
      </c>
      <c r="U57" s="6" t="s">
        <v>614</v>
      </c>
      <c r="V57" s="6" t="s">
        <v>563</v>
      </c>
      <c r="W57" s="6" t="s">
        <v>615</v>
      </c>
      <c r="X57" s="6" t="s">
        <v>616</v>
      </c>
      <c r="Y57" s="6" t="s">
        <v>617</v>
      </c>
      <c r="Z57" s="6">
        <v>0.61856325492689102</v>
      </c>
      <c r="AA57" s="6">
        <v>0.53703703703703698</v>
      </c>
      <c r="AB57" s="6">
        <v>0.488325550366911</v>
      </c>
      <c r="AC57" s="6">
        <v>0.63235294117647001</v>
      </c>
      <c r="AD57" s="5">
        <v>0.78823529411764703</v>
      </c>
      <c r="AE57" s="6">
        <v>0.73488372093023202</v>
      </c>
      <c r="AF57" s="6">
        <v>0.72727272727272696</v>
      </c>
      <c r="AG57" s="6">
        <v>0.52874940105414403</v>
      </c>
      <c r="AH57" s="6">
        <v>0.59077109896781999</v>
      </c>
      <c r="AI57" s="5">
        <v>0.28999999999999998</v>
      </c>
      <c r="AJ57" s="6">
        <v>0.43701492537313402</v>
      </c>
      <c r="AK57" s="6">
        <v>0.55844155844155796</v>
      </c>
      <c r="AL57" s="6">
        <v>0.67676767676767602</v>
      </c>
      <c r="AM57" s="6">
        <v>0.661087866108786</v>
      </c>
      <c r="AN57" s="6">
        <v>0.74261603375527396</v>
      </c>
      <c r="AO57" s="5">
        <v>8.0995000000000008</v>
      </c>
      <c r="AP57" s="5">
        <v>187.667</v>
      </c>
      <c r="AQ57" s="5">
        <v>11.728999999999999</v>
      </c>
    </row>
    <row r="58" spans="1:43" s="5" customFormat="1" x14ac:dyDescent="0.45">
      <c r="A58" s="5">
        <v>43</v>
      </c>
      <c r="B58" s="5" t="s">
        <v>530</v>
      </c>
      <c r="C58" s="5" t="s">
        <v>512</v>
      </c>
      <c r="D58" s="5" t="s">
        <v>513</v>
      </c>
      <c r="E58" s="6" t="s">
        <v>45</v>
      </c>
      <c r="F58" s="5">
        <v>0.01</v>
      </c>
      <c r="G58" s="5">
        <v>16</v>
      </c>
      <c r="H58" s="5">
        <v>8</v>
      </c>
      <c r="I58" s="5">
        <v>2</v>
      </c>
      <c r="J58" s="5">
        <v>400</v>
      </c>
      <c r="K58" s="5">
        <v>400</v>
      </c>
      <c r="L58" s="6" t="s">
        <v>531</v>
      </c>
      <c r="M58" s="5" t="s">
        <v>630</v>
      </c>
      <c r="N58" s="5">
        <v>2000</v>
      </c>
      <c r="O58" s="5" t="s">
        <v>46</v>
      </c>
      <c r="P58" s="5">
        <v>0.60340577363967896</v>
      </c>
      <c r="Q58" s="8">
        <v>0.47472789622782102</v>
      </c>
      <c r="R58" s="6" t="s">
        <v>532</v>
      </c>
      <c r="S58" s="6" t="s">
        <v>533</v>
      </c>
      <c r="T58" s="6" t="s">
        <v>534</v>
      </c>
      <c r="U58" s="6" t="s">
        <v>480</v>
      </c>
      <c r="V58" s="6" t="s">
        <v>535</v>
      </c>
      <c r="W58" s="6" t="s">
        <v>536</v>
      </c>
      <c r="X58" s="6" t="s">
        <v>537</v>
      </c>
      <c r="Y58" s="6" t="s">
        <v>538</v>
      </c>
      <c r="Z58" s="6">
        <v>0.52708058124174295</v>
      </c>
      <c r="AA58" s="6">
        <v>0.50862068965517204</v>
      </c>
      <c r="AB58" s="5">
        <v>0.4453125</v>
      </c>
      <c r="AC58" s="5">
        <v>0.44</v>
      </c>
      <c r="AD58" s="6">
        <v>0.68461538461538396</v>
      </c>
      <c r="AE58" s="6">
        <v>0.52238805970149205</v>
      </c>
      <c r="AF58" s="6">
        <v>0.60555555555555496</v>
      </c>
      <c r="AG58" s="6">
        <v>0.44419642857142799</v>
      </c>
      <c r="AH58" s="6">
        <v>0.54732510288065805</v>
      </c>
      <c r="AI58" s="6">
        <v>0.221804511278195</v>
      </c>
      <c r="AJ58" s="6">
        <v>0.33211944646758901</v>
      </c>
      <c r="AK58" s="6">
        <v>0.35483870967741898</v>
      </c>
      <c r="AL58" s="6">
        <v>0.80180180180180105</v>
      </c>
      <c r="AM58" s="6">
        <v>0.434782608695652</v>
      </c>
      <c r="AN58" s="5">
        <v>0.59239130434782605</v>
      </c>
      <c r="AO58" s="5">
        <v>9.1350999999999996</v>
      </c>
      <c r="AP58" s="5">
        <v>198.79400000000001</v>
      </c>
      <c r="AQ58" s="5">
        <v>12.478999999999999</v>
      </c>
    </row>
    <row r="59" spans="1:43" s="5" customFormat="1" x14ac:dyDescent="0.45">
      <c r="A59" s="5">
        <v>43</v>
      </c>
      <c r="B59" s="5" t="s">
        <v>530</v>
      </c>
      <c r="C59" s="5" t="s">
        <v>512</v>
      </c>
      <c r="D59" s="5" t="s">
        <v>513</v>
      </c>
      <c r="E59" s="6" t="s">
        <v>45</v>
      </c>
      <c r="F59" s="5">
        <v>0.01</v>
      </c>
      <c r="G59" s="5">
        <v>16</v>
      </c>
      <c r="H59" s="5">
        <v>8</v>
      </c>
      <c r="I59" s="5">
        <v>2</v>
      </c>
      <c r="J59" s="5">
        <v>400</v>
      </c>
      <c r="K59" s="5">
        <v>400</v>
      </c>
      <c r="L59" s="6" t="s">
        <v>531</v>
      </c>
      <c r="M59" s="5" t="s">
        <v>630</v>
      </c>
      <c r="N59" s="5">
        <v>2000</v>
      </c>
      <c r="O59" s="5" t="s">
        <v>64</v>
      </c>
      <c r="P59" s="6" t="s">
        <v>555</v>
      </c>
      <c r="Q59" s="8">
        <v>0.52371026576341795</v>
      </c>
      <c r="R59" s="6" t="s">
        <v>556</v>
      </c>
      <c r="S59" s="6" t="s">
        <v>557</v>
      </c>
      <c r="T59" s="6" t="s">
        <v>558</v>
      </c>
      <c r="U59" s="6" t="s">
        <v>559</v>
      </c>
      <c r="V59" s="6" t="s">
        <v>455</v>
      </c>
      <c r="W59" s="6" t="s">
        <v>560</v>
      </c>
      <c r="X59" s="6" t="s">
        <v>561</v>
      </c>
      <c r="Y59" s="6" t="s">
        <v>562</v>
      </c>
      <c r="Z59" s="6">
        <v>0.60063492063491997</v>
      </c>
      <c r="AA59" s="6">
        <v>0.55263157894736803</v>
      </c>
      <c r="AB59" s="6">
        <v>0.48133748055987502</v>
      </c>
      <c r="AC59" s="6">
        <v>0.63076923076922997</v>
      </c>
      <c r="AD59" s="6">
        <v>0.74712643678160895</v>
      </c>
      <c r="AE59" s="6">
        <v>0.72826086956521696</v>
      </c>
      <c r="AF59" s="6">
        <v>0.71179039301309999</v>
      </c>
      <c r="AG59" s="6">
        <v>0.481552467656923</v>
      </c>
      <c r="AH59" s="6">
        <v>0.57437765634486904</v>
      </c>
      <c r="AI59" s="5">
        <v>0.21</v>
      </c>
      <c r="AJ59" s="6">
        <v>0.36955223880596999</v>
      </c>
      <c r="AK59" s="6">
        <v>0.53246753246753198</v>
      </c>
      <c r="AL59" s="6">
        <v>0.65656565656565602</v>
      </c>
      <c r="AM59" s="6">
        <v>0.56066945606694496</v>
      </c>
      <c r="AN59" s="6">
        <v>0.68776371308016804</v>
      </c>
      <c r="AO59" s="5">
        <v>8.3061000000000007</v>
      </c>
      <c r="AP59" s="5">
        <v>182.99700000000001</v>
      </c>
      <c r="AQ59" s="5">
        <v>11.436999999999999</v>
      </c>
    </row>
    <row r="60" spans="1:43" s="5" customFormat="1" x14ac:dyDescent="0.45">
      <c r="A60" s="5">
        <v>43</v>
      </c>
      <c r="B60" s="5" t="s">
        <v>572</v>
      </c>
      <c r="C60" s="5" t="s">
        <v>512</v>
      </c>
      <c r="D60" s="5" t="s">
        <v>513</v>
      </c>
      <c r="E60" s="6" t="s">
        <v>84</v>
      </c>
      <c r="F60" s="5">
        <v>0.01</v>
      </c>
      <c r="G60" s="5">
        <v>16</v>
      </c>
      <c r="H60" s="5">
        <v>8</v>
      </c>
      <c r="I60" s="5">
        <v>2</v>
      </c>
      <c r="J60" s="5">
        <v>400</v>
      </c>
      <c r="K60" s="5">
        <v>400</v>
      </c>
      <c r="L60" s="5">
        <v>0.54904442475635995</v>
      </c>
      <c r="M60" s="5" t="s">
        <v>630</v>
      </c>
      <c r="N60" s="5">
        <v>2000</v>
      </c>
      <c r="O60" s="5" t="s">
        <v>46</v>
      </c>
      <c r="P60" s="6" t="s">
        <v>573</v>
      </c>
      <c r="Q60" s="8">
        <v>0.50945558739255004</v>
      </c>
      <c r="R60" s="6" t="s">
        <v>574</v>
      </c>
      <c r="S60" s="6" t="s">
        <v>575</v>
      </c>
      <c r="T60" s="6" t="s">
        <v>576</v>
      </c>
      <c r="U60" s="6" t="s">
        <v>90</v>
      </c>
      <c r="V60" s="6" t="s">
        <v>577</v>
      </c>
      <c r="W60" s="6" t="s">
        <v>578</v>
      </c>
      <c r="X60" s="6" t="s">
        <v>579</v>
      </c>
      <c r="Y60" s="6" t="s">
        <v>580</v>
      </c>
      <c r="Z60" s="6">
        <v>0.56278763971071599</v>
      </c>
      <c r="AA60" s="6">
        <v>0.48051948051948001</v>
      </c>
      <c r="AB60" s="6">
        <v>0.44715447154471499</v>
      </c>
      <c r="AC60" s="5">
        <v>0.4375</v>
      </c>
      <c r="AD60" s="6">
        <v>0.66666666666666596</v>
      </c>
      <c r="AE60" s="6">
        <v>0.592592592592592</v>
      </c>
      <c r="AF60" s="6">
        <v>0.60416666666666596</v>
      </c>
      <c r="AG60" s="5">
        <v>0.49609375</v>
      </c>
      <c r="AH60" s="6">
        <v>0.58710562414266099</v>
      </c>
      <c r="AI60" s="6">
        <v>0.278195488721804</v>
      </c>
      <c r="AJ60" s="6">
        <v>0.40058266569555701</v>
      </c>
      <c r="AK60" s="6">
        <v>0.45161290322580599</v>
      </c>
      <c r="AL60" s="6">
        <v>0.79279279279279202</v>
      </c>
      <c r="AM60" s="6">
        <v>0.49689440993788803</v>
      </c>
      <c r="AN60" s="6">
        <v>0.63043478260869501</v>
      </c>
      <c r="AO60" s="5">
        <v>9.0897000000000006</v>
      </c>
      <c r="AP60" s="5">
        <v>199.786</v>
      </c>
      <c r="AQ60" s="5">
        <v>12.542</v>
      </c>
    </row>
    <row r="61" spans="1:43" s="5" customFormat="1" x14ac:dyDescent="0.45">
      <c r="A61" s="5">
        <v>43</v>
      </c>
      <c r="B61" s="5" t="s">
        <v>572</v>
      </c>
      <c r="C61" s="5" t="s">
        <v>512</v>
      </c>
      <c r="D61" s="5" t="s">
        <v>513</v>
      </c>
      <c r="E61" s="6" t="s">
        <v>84</v>
      </c>
      <c r="F61" s="5">
        <v>0.01</v>
      </c>
      <c r="G61" s="5">
        <v>16</v>
      </c>
      <c r="H61" s="5">
        <v>8</v>
      </c>
      <c r="I61" s="5">
        <v>2</v>
      </c>
      <c r="J61" s="5">
        <v>400</v>
      </c>
      <c r="K61" s="5">
        <v>400</v>
      </c>
      <c r="L61" s="5">
        <v>0.54904442475635995</v>
      </c>
      <c r="M61" s="5" t="s">
        <v>630</v>
      </c>
      <c r="N61" s="5">
        <v>2000</v>
      </c>
      <c r="O61" s="5" t="s">
        <v>64</v>
      </c>
      <c r="P61" s="6" t="s">
        <v>589</v>
      </c>
      <c r="Q61" s="7">
        <v>0.54904442475635995</v>
      </c>
      <c r="R61" s="6" t="s">
        <v>590</v>
      </c>
      <c r="S61" s="6" t="s">
        <v>591</v>
      </c>
      <c r="T61" s="6" t="s">
        <v>592</v>
      </c>
      <c r="U61" s="6" t="s">
        <v>593</v>
      </c>
      <c r="V61" s="6" t="s">
        <v>594</v>
      </c>
      <c r="W61" s="5">
        <v>0.67268623024830698</v>
      </c>
      <c r="X61" s="6" t="s">
        <v>595</v>
      </c>
      <c r="Y61" s="5">
        <v>0.58196941239602895</v>
      </c>
      <c r="Z61" s="6">
        <v>0.61804222648752305</v>
      </c>
      <c r="AA61" s="6">
        <v>0.54716981132075404</v>
      </c>
      <c r="AB61" s="6">
        <v>0.48624484181568001</v>
      </c>
      <c r="AC61" s="6">
        <v>0.602739726027397</v>
      </c>
      <c r="AD61" s="6">
        <v>0.81927710843373402</v>
      </c>
      <c r="AE61" s="6">
        <v>0.73039215686274495</v>
      </c>
      <c r="AF61" s="6">
        <v>0.72540983606557297</v>
      </c>
      <c r="AG61" s="6">
        <v>0.51964542405366498</v>
      </c>
      <c r="AH61" s="6">
        <v>0.58652094717668402</v>
      </c>
      <c r="AI61" s="5">
        <v>0.28999999999999998</v>
      </c>
      <c r="AJ61" s="6">
        <v>0.42208955223880501</v>
      </c>
      <c r="AK61" s="6">
        <v>0.57142857142857095</v>
      </c>
      <c r="AL61" s="6">
        <v>0.68686868686868596</v>
      </c>
      <c r="AM61" s="6">
        <v>0.62343096234309603</v>
      </c>
      <c r="AN61" s="6">
        <v>0.746835443037974</v>
      </c>
      <c r="AO61" s="5">
        <v>7.8064999999999998</v>
      </c>
      <c r="AP61" s="5">
        <v>194.71</v>
      </c>
      <c r="AQ61" s="5">
        <v>12.169</v>
      </c>
    </row>
    <row r="62" spans="1:43" s="5" customFormat="1" x14ac:dyDescent="0.45">
      <c r="A62" s="5">
        <v>43</v>
      </c>
      <c r="B62" s="5" t="s">
        <v>603</v>
      </c>
      <c r="C62" s="5" t="s">
        <v>512</v>
      </c>
      <c r="D62" s="5" t="s">
        <v>513</v>
      </c>
      <c r="E62" s="6" t="s">
        <v>125</v>
      </c>
      <c r="F62" s="5">
        <v>0.01</v>
      </c>
      <c r="G62" s="5">
        <v>16</v>
      </c>
      <c r="H62" s="5">
        <v>8</v>
      </c>
      <c r="I62" s="5">
        <v>2</v>
      </c>
      <c r="J62" s="5">
        <v>400</v>
      </c>
      <c r="K62" s="5">
        <v>400</v>
      </c>
      <c r="L62" s="6" t="s">
        <v>604</v>
      </c>
      <c r="M62" s="5" t="s">
        <v>630</v>
      </c>
      <c r="N62" s="5">
        <v>2000</v>
      </c>
      <c r="O62" s="5" t="s">
        <v>46</v>
      </c>
      <c r="P62" s="6" t="s">
        <v>605</v>
      </c>
      <c r="Q62" s="7">
        <v>0.51576094708315501</v>
      </c>
      <c r="R62" s="6" t="s">
        <v>606</v>
      </c>
      <c r="S62" s="5">
        <v>0.375</v>
      </c>
      <c r="T62" s="6" t="s">
        <v>607</v>
      </c>
      <c r="U62" s="6" t="s">
        <v>525</v>
      </c>
      <c r="V62" s="6" t="s">
        <v>468</v>
      </c>
      <c r="W62" s="6" t="s">
        <v>608</v>
      </c>
      <c r="X62" s="6" t="s">
        <v>609</v>
      </c>
      <c r="Y62" s="5">
        <v>0.52757513860519401</v>
      </c>
      <c r="Z62" s="5">
        <v>0.56657963446475201</v>
      </c>
      <c r="AA62" s="6">
        <v>0.48795180722891501</v>
      </c>
      <c r="AB62" s="6">
        <v>0.45578778135048198</v>
      </c>
      <c r="AC62" s="6">
        <v>0.42307692307692302</v>
      </c>
      <c r="AD62" s="6">
        <v>0.67460317460317398</v>
      </c>
      <c r="AE62" s="6">
        <v>0.59589041095890405</v>
      </c>
      <c r="AF62" s="6">
        <v>0.58288770053475902</v>
      </c>
      <c r="AG62" s="6">
        <v>0.50446428571428503</v>
      </c>
      <c r="AH62" s="6">
        <v>0.59533607681755796</v>
      </c>
      <c r="AI62" s="6">
        <v>0.30451127819548801</v>
      </c>
      <c r="AJ62" s="6">
        <v>0.412964311726147</v>
      </c>
      <c r="AK62" s="6">
        <v>0.35483870967741898</v>
      </c>
      <c r="AL62" s="6">
        <v>0.76576576576576505</v>
      </c>
      <c r="AM62" s="6">
        <v>0.54037267080745299</v>
      </c>
      <c r="AN62" s="5">
        <v>0.59239130434782605</v>
      </c>
      <c r="AO62" s="5">
        <v>9.1968999999999994</v>
      </c>
      <c r="AP62" s="5">
        <v>197.459</v>
      </c>
      <c r="AQ62" s="5">
        <v>12.396000000000001</v>
      </c>
    </row>
    <row r="63" spans="1:43" s="5" customFormat="1" x14ac:dyDescent="0.45">
      <c r="A63" s="5">
        <v>43</v>
      </c>
      <c r="B63" s="5" t="s">
        <v>603</v>
      </c>
      <c r="C63" s="5" t="s">
        <v>512</v>
      </c>
      <c r="D63" s="5" t="s">
        <v>513</v>
      </c>
      <c r="E63" s="6" t="s">
        <v>125</v>
      </c>
      <c r="F63" s="5">
        <v>0.01</v>
      </c>
      <c r="G63" s="5">
        <v>16</v>
      </c>
      <c r="H63" s="5">
        <v>8</v>
      </c>
      <c r="I63" s="5">
        <v>2</v>
      </c>
      <c r="J63" s="5">
        <v>400</v>
      </c>
      <c r="K63" s="5">
        <v>400</v>
      </c>
      <c r="L63" s="6" t="s">
        <v>604</v>
      </c>
      <c r="M63" s="5" t="s">
        <v>630</v>
      </c>
      <c r="N63" s="5">
        <v>2000</v>
      </c>
      <c r="O63" s="5" t="s">
        <v>64</v>
      </c>
      <c r="P63" s="6" t="s">
        <v>618</v>
      </c>
      <c r="Q63" s="8">
        <v>0.55246952368983204</v>
      </c>
      <c r="R63" s="6" t="s">
        <v>619</v>
      </c>
      <c r="S63" s="5">
        <v>0.37579617834394902</v>
      </c>
      <c r="T63" s="6" t="s">
        <v>620</v>
      </c>
      <c r="U63" s="6" t="s">
        <v>491</v>
      </c>
      <c r="V63" s="6" t="s">
        <v>621</v>
      </c>
      <c r="W63" s="6" t="s">
        <v>622</v>
      </c>
      <c r="X63" s="6" t="s">
        <v>623</v>
      </c>
      <c r="Y63" s="6" t="s">
        <v>624</v>
      </c>
      <c r="Z63" s="6">
        <v>0.61347743165924895</v>
      </c>
      <c r="AA63" s="6">
        <v>0.51754385964912197</v>
      </c>
      <c r="AB63" s="6">
        <v>0.49464524765729501</v>
      </c>
      <c r="AC63" s="6">
        <v>0.62686567164179097</v>
      </c>
      <c r="AD63" s="6">
        <v>0.79310344827586199</v>
      </c>
      <c r="AE63" s="6">
        <v>0.71770334928229595</v>
      </c>
      <c r="AF63" s="6">
        <v>0.72803347280334696</v>
      </c>
      <c r="AG63" s="6">
        <v>0.52659319597508303</v>
      </c>
      <c r="AH63" s="6">
        <v>0.58591378263509397</v>
      </c>
      <c r="AI63" s="5">
        <v>0.29499999999999998</v>
      </c>
      <c r="AJ63" s="6">
        <v>0.44119402985074602</v>
      </c>
      <c r="AK63" s="6">
        <v>0.54545454545454497</v>
      </c>
      <c r="AL63" s="5">
        <v>0.69696969696969702</v>
      </c>
      <c r="AM63" s="6">
        <v>0.62761506276150603</v>
      </c>
      <c r="AN63" s="6">
        <v>0.734177215189873</v>
      </c>
      <c r="AO63" s="5">
        <v>7.8232999999999997</v>
      </c>
      <c r="AP63" s="5">
        <v>194.29</v>
      </c>
      <c r="AQ63" s="5">
        <v>12.143000000000001</v>
      </c>
    </row>
    <row r="64" spans="1:43" x14ac:dyDescent="0.45">
      <c r="Y64" s="5" t="s">
        <v>23</v>
      </c>
      <c r="Z64" t="s">
        <v>24</v>
      </c>
      <c r="AA64" t="s">
        <v>25</v>
      </c>
      <c r="AB64" t="s">
        <v>26</v>
      </c>
      <c r="AC64" t="s">
        <v>27</v>
      </c>
      <c r="AD64" t="s">
        <v>28</v>
      </c>
      <c r="AE64" t="s">
        <v>29</v>
      </c>
      <c r="AF64" t="s">
        <v>30</v>
      </c>
      <c r="AG64" s="5" t="s">
        <v>31</v>
      </c>
      <c r="AH64" t="s">
        <v>32</v>
      </c>
      <c r="AI64" t="s">
        <v>33</v>
      </c>
      <c r="AJ64" t="s">
        <v>34</v>
      </c>
      <c r="AK64" t="s">
        <v>35</v>
      </c>
      <c r="AL64" t="s">
        <v>36</v>
      </c>
      <c r="AM64" t="s">
        <v>37</v>
      </c>
      <c r="AN64" t="s">
        <v>38</v>
      </c>
    </row>
    <row r="65" spans="24:40" x14ac:dyDescent="0.45">
      <c r="X65" s="5" t="s">
        <v>634</v>
      </c>
      <c r="Y65" s="5">
        <f>AVERAGE(Y50:Y63)</f>
        <v>0.55461077526823277</v>
      </c>
      <c r="Z65" s="5">
        <f>AVERAGE(Z50:Z63)</f>
        <v>0.5772222449496901</v>
      </c>
      <c r="AA65" s="5">
        <f>AVERAGE(AA50:AA63)</f>
        <v>0.47995821956694901</v>
      </c>
      <c r="AB65" s="5">
        <f>AVERAGE(AB50:AB63)</f>
        <v>0.47064386224162913</v>
      </c>
      <c r="AC65" s="5">
        <f>AVERAGE(AC50:AC63)</f>
        <v>0.52584963586311362</v>
      </c>
      <c r="AD65" s="5">
        <f>AVERAGE(AD50:AD63)</f>
        <v>0.73509613741128266</v>
      </c>
      <c r="AE65" s="5">
        <f>AVERAGE(AE50:AE63)</f>
        <v>0.64388016872799902</v>
      </c>
      <c r="AF65" s="5">
        <f>AVERAGE(AF50:AF63)</f>
        <v>0.67074516153091601</v>
      </c>
      <c r="AG65" s="5">
        <f>AVERAGE(AG50:AG63)</f>
        <v>0.48803250411928012</v>
      </c>
      <c r="AH65" s="5">
        <f t="shared" ref="AH65:AN65" si="0">AVERAGE(AH50:AH63)</f>
        <v>0.57478162957822909</v>
      </c>
      <c r="AI65" s="5">
        <f t="shared" si="0"/>
        <v>0.25076530612244874</v>
      </c>
      <c r="AJ65" s="5">
        <f t="shared" si="0"/>
        <v>0.3872828863693184</v>
      </c>
      <c r="AK65" s="5">
        <f t="shared" si="0"/>
        <v>0.4542462146148778</v>
      </c>
      <c r="AL65" s="5">
        <f t="shared" si="0"/>
        <v>0.72692172692172641</v>
      </c>
      <c r="AM65" s="5">
        <f t="shared" si="0"/>
        <v>0.54301047324514629</v>
      </c>
      <c r="AN65" s="5">
        <f t="shared" si="0"/>
        <v>0.65644409937888171</v>
      </c>
    </row>
    <row r="66" spans="24:40" x14ac:dyDescent="0.45">
      <c r="X66" s="5" t="s">
        <v>633</v>
      </c>
      <c r="Y66" s="5">
        <f>_xlfn.STDEV.S(Y50:Y63)</f>
        <v>2.4975054904913096E-2</v>
      </c>
      <c r="Z66" s="5">
        <f>_xlfn.STDEV.S(Z50:Z63)</f>
        <v>3.4426604008229042E-2</v>
      </c>
      <c r="AA66" s="5">
        <f>_xlfn.STDEV.S(AA50:AA63)</f>
        <v>5.5346704872731745E-2</v>
      </c>
      <c r="AB66" s="5">
        <f>_xlfn.STDEV.S(AB50:AB63)</f>
        <v>1.9785465379435388E-2</v>
      </c>
      <c r="AC66" s="5">
        <f>_xlfn.STDEV.S(AC50:AC63)</f>
        <v>9.9740919546641466E-2</v>
      </c>
      <c r="AD66" s="5">
        <f>_xlfn.STDEV.S(AD50:AD63)</f>
        <v>4.7555267493801991E-2</v>
      </c>
      <c r="AE66" s="5">
        <f>_xlfn.STDEV.S(AE50:AE63)</f>
        <v>8.6776104156993827E-2</v>
      </c>
      <c r="AF66" s="5">
        <f>_xlfn.STDEV.S(AF50:AF63)</f>
        <v>6.3766196850905496E-2</v>
      </c>
      <c r="AG66" s="5">
        <f>_xlfn.STDEV.S(AG50:AG63)</f>
        <v>3.1193341129330518E-2</v>
      </c>
      <c r="AH66" s="5">
        <f t="shared" ref="AH66:AN66" si="1">_xlfn.STDEV.S(AH50:AH63)</f>
        <v>1.7096845925819577E-2</v>
      </c>
      <c r="AI66" s="5">
        <f t="shared" si="1"/>
        <v>4.6697255650003169E-2</v>
      </c>
      <c r="AJ66" s="5">
        <f t="shared" si="1"/>
        <v>4.2441214189673358E-2</v>
      </c>
      <c r="AK66" s="5">
        <f t="shared" si="1"/>
        <v>8.5599211141321491E-2</v>
      </c>
      <c r="AL66" s="5">
        <f t="shared" si="1"/>
        <v>7.0221178714280574E-2</v>
      </c>
      <c r="AM66" s="5">
        <f t="shared" si="1"/>
        <v>7.2518681862493592E-2</v>
      </c>
      <c r="AN66" s="5">
        <f>_xlfn.STDEV.S(AN50:AN63)</f>
        <v>6.4616188924181819E-2</v>
      </c>
    </row>
  </sheetData>
  <sortState xmlns:xlrd2="http://schemas.microsoft.com/office/spreadsheetml/2017/richdata2" ref="A2:AQ63">
    <sortCondition ref="C2:C63"/>
    <sortCondition ref="A2:A6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7019-E2CC-422E-AD15-376AEEA3A00E}">
  <dimension ref="A1:E11"/>
  <sheetViews>
    <sheetView workbookViewId="0">
      <selection activeCell="E1" sqref="E1"/>
    </sheetView>
  </sheetViews>
  <sheetFormatPr defaultRowHeight="14.25" x14ac:dyDescent="0.45"/>
  <cols>
    <col min="1" max="1" width="27.73046875" customWidth="1"/>
  </cols>
  <sheetData>
    <row r="1" spans="1:5" x14ac:dyDescent="0.45">
      <c r="A1" t="s">
        <v>1</v>
      </c>
      <c r="B1" t="s">
        <v>627</v>
      </c>
      <c r="C1" t="s">
        <v>631</v>
      </c>
      <c r="D1" t="s">
        <v>632</v>
      </c>
      <c r="E1" t="s">
        <v>633</v>
      </c>
    </row>
    <row r="2" spans="1:5" x14ac:dyDescent="0.45">
      <c r="A2" t="s">
        <v>43</v>
      </c>
      <c r="B2">
        <v>42</v>
      </c>
      <c r="C2">
        <f>AVERAGE(combined_metrics!Q2:Q7)</f>
        <v>0.49953633133956782</v>
      </c>
      <c r="D2" s="4">
        <f t="shared" ref="D2" si="0">AVERAGE(C2:C3)</f>
        <v>0.50050893578526245</v>
      </c>
      <c r="E2" s="4">
        <f>_xlfn.STDEV.S(combined_metrics!Q2:Q13)</f>
        <v>3.1152026792491544E-2</v>
      </c>
    </row>
    <row r="3" spans="1:5" x14ac:dyDescent="0.45">
      <c r="A3" t="s">
        <v>43</v>
      </c>
      <c r="B3">
        <v>43</v>
      </c>
      <c r="C3">
        <f>AVERAGE(combined_metrics!Q8:Q13)</f>
        <v>0.50148154023095703</v>
      </c>
      <c r="D3" s="4"/>
      <c r="E3" s="4"/>
    </row>
    <row r="4" spans="1:5" x14ac:dyDescent="0.45">
      <c r="A4" t="s">
        <v>166</v>
      </c>
      <c r="B4">
        <v>42</v>
      </c>
      <c r="C4">
        <f>AVERAGE(combined_metrics!Q14:Q19)</f>
        <v>0.49854497510491069</v>
      </c>
      <c r="D4" s="4">
        <f t="shared" ref="D4" si="1">AVERAGE(C4:C5)</f>
        <v>0.4971318133159528</v>
      </c>
      <c r="E4" s="4">
        <f>_xlfn.STDEV.S(combined_metrics!Q14:Q25)</f>
        <v>3.625733099248938E-2</v>
      </c>
    </row>
    <row r="5" spans="1:5" x14ac:dyDescent="0.45">
      <c r="A5" t="s">
        <v>166</v>
      </c>
      <c r="B5">
        <v>43</v>
      </c>
      <c r="C5">
        <f>AVERAGE(combined_metrics!Q20:Q25)</f>
        <v>0.49571865152699485</v>
      </c>
      <c r="D5" s="4"/>
      <c r="E5" s="4"/>
    </row>
    <row r="6" spans="1:5" x14ac:dyDescent="0.45">
      <c r="A6" t="s">
        <v>283</v>
      </c>
      <c r="B6">
        <v>42</v>
      </c>
      <c r="C6">
        <f>AVERAGE(combined_metrics!Q26:Q31)</f>
        <v>0.48588761667003538</v>
      </c>
      <c r="D6" s="4">
        <f t="shared" ref="D6" si="2">AVERAGE(C6:C7)</f>
        <v>0.49253501157301405</v>
      </c>
      <c r="E6" s="4">
        <f>_xlfn.STDEV.S(combined_metrics!Q26:Q37)</f>
        <v>3.1010135296039302E-2</v>
      </c>
    </row>
    <row r="7" spans="1:5" x14ac:dyDescent="0.45">
      <c r="A7" t="s">
        <v>283</v>
      </c>
      <c r="B7">
        <v>43</v>
      </c>
      <c r="C7">
        <f>AVERAGE(combined_metrics!Q32:Q37)</f>
        <v>0.49918240647599266</v>
      </c>
      <c r="D7" s="4"/>
      <c r="E7" s="4"/>
    </row>
    <row r="8" spans="1:5" x14ac:dyDescent="0.45">
      <c r="A8" t="s">
        <v>397</v>
      </c>
      <c r="B8">
        <v>42</v>
      </c>
      <c r="C8">
        <f>AVERAGE(combined_metrics!Q38:Q43)</f>
        <v>0.49672216369959016</v>
      </c>
      <c r="D8" s="4">
        <f t="shared" ref="D8" si="3">AVERAGE(C8:C9)</f>
        <v>0.49551878060634752</v>
      </c>
      <c r="E8" s="4">
        <f>_xlfn.STDEV.S(combined_metrics!Q38:Q49)</f>
        <v>3.1981225586452777E-2</v>
      </c>
    </row>
    <row r="9" spans="1:5" x14ac:dyDescent="0.45">
      <c r="A9" t="s">
        <v>397</v>
      </c>
      <c r="B9">
        <v>43</v>
      </c>
      <c r="C9">
        <f>AVERAGE(combined_metrics!Q44:Q49)</f>
        <v>0.49431539751310488</v>
      </c>
      <c r="D9" s="4"/>
      <c r="E9" s="4"/>
    </row>
    <row r="10" spans="1:5" x14ac:dyDescent="0.45">
      <c r="A10" t="s">
        <v>512</v>
      </c>
      <c r="B10">
        <v>42</v>
      </c>
      <c r="C10">
        <f>AVERAGE(combined_metrics!Q50:Q55)</f>
        <v>0.50344326605211009</v>
      </c>
      <c r="D10" s="4">
        <f>AVERAGE(C10:C11)</f>
        <v>0.5131647306613607</v>
      </c>
      <c r="E10" s="4">
        <f>_xlfn.STDEV.S(combined_metrics!Q50:Q63)</f>
        <v>2.8696665703877501E-2</v>
      </c>
    </row>
    <row r="11" spans="1:5" x14ac:dyDescent="0.45">
      <c r="A11" t="s">
        <v>512</v>
      </c>
      <c r="B11">
        <v>43</v>
      </c>
      <c r="C11">
        <f>AVERAGE(combined_metrics!Q56:Q61)</f>
        <v>0.52288619527061131</v>
      </c>
      <c r="D11" s="4"/>
      <c r="E11" s="4"/>
    </row>
  </sheetData>
  <mergeCells count="10">
    <mergeCell ref="D10:D11"/>
    <mergeCell ref="D8:D9"/>
    <mergeCell ref="D6:D7"/>
    <mergeCell ref="D4:D5"/>
    <mergeCell ref="D2:D3"/>
    <mergeCell ref="E2:E3"/>
    <mergeCell ref="E4:E5"/>
    <mergeCell ref="E6:E7"/>
    <mergeCell ref="E8:E9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combined_metrics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Chestnova Elena</cp:lastModifiedBy>
  <dcterms:created xsi:type="dcterms:W3CDTF">2026-03-02T17:16:34Z</dcterms:created>
  <dcterms:modified xsi:type="dcterms:W3CDTF">2026-03-03T10:01:31Z</dcterms:modified>
</cp:coreProperties>
</file>